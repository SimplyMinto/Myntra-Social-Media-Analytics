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ntra Sales Analysis\"/>
    </mc:Choice>
  </mc:AlternateContent>
  <xr:revisionPtr revIDLastSave="0" documentId="13_ncr:1_{4149A1A1-54E6-491C-B238-86EBE0B73319}" xr6:coauthVersionLast="47" xr6:coauthVersionMax="47" xr10:uidLastSave="{00000000-0000-0000-0000-000000000000}"/>
  <bookViews>
    <workbookView xWindow="-108" yWindow="-108" windowWidth="23256" windowHeight="13176" firstSheet="1" activeTab="3" xr2:uid="{1FECEDF9-5739-4BBF-8346-95106B8DE97E}"/>
  </bookViews>
  <sheets>
    <sheet name="Engagement_treated" sheetId="2" r:id="rId1"/>
    <sheet name="Platform_Engagement" sheetId="3" r:id="rId2"/>
    <sheet name="Follower_Growth" sheetId="5" r:id="rId3"/>
    <sheet name="Engagement_vs_Spend" sheetId="6" r:id="rId4"/>
  </sheets>
  <definedNames>
    <definedName name="ExternalData_1" localSheetId="0" hidden="1">Engagement_treated!$A$1:$G$201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6" l="1"/>
  <c r="F5" i="6"/>
  <c r="G5" i="6"/>
  <c r="E6" i="6"/>
  <c r="F6" i="6"/>
  <c r="G6" i="6"/>
  <c r="E7" i="6"/>
  <c r="F7" i="6"/>
  <c r="G7" i="6"/>
  <c r="G4" i="6"/>
  <c r="F4" i="6"/>
  <c r="E4" i="6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9766BA-F8BF-4FF3-B30E-C13EF565CD0C}" keepAlive="1" name="Query - Engagement_Treated" description="Connection to the 'Engagement_Treated' query in the workbook." type="5" refreshedVersion="8" background="1" saveData="1">
    <dbPr connection="Provider=Microsoft.Mashup.OleDb.1;Data Source=$Workbook$;Location=Engagement_Treated;Extended Properties=&quot;&quot;" command="SELECT * FROM [Engagement_Treated]"/>
  </connection>
</connections>
</file>

<file path=xl/sharedStrings.xml><?xml version="1.0" encoding="utf-8"?>
<sst xmlns="http://schemas.openxmlformats.org/spreadsheetml/2006/main" count="235" uniqueCount="20">
  <si>
    <t>Week_Start_Date</t>
  </si>
  <si>
    <t>Platform</t>
  </si>
  <si>
    <t>Followers_Gained</t>
  </si>
  <si>
    <t>Unfollows</t>
  </si>
  <si>
    <t>Total_Followers</t>
  </si>
  <si>
    <t>Engagement_Rate_Percent</t>
  </si>
  <si>
    <t>Ad_Spend</t>
  </si>
  <si>
    <t>Instagram</t>
  </si>
  <si>
    <t>Facebook</t>
  </si>
  <si>
    <t>X</t>
  </si>
  <si>
    <t>Youtube</t>
  </si>
  <si>
    <t>Row Labels</t>
  </si>
  <si>
    <t>Grand Total</t>
  </si>
  <si>
    <t>Average of Engagement_Rate_Percent</t>
  </si>
  <si>
    <t>Net_Follower_Growth</t>
  </si>
  <si>
    <t>Sum of Followers_Gained</t>
  </si>
  <si>
    <t>Sum of Ad_Spend</t>
  </si>
  <si>
    <t>Avg_Engagement</t>
  </si>
  <si>
    <t xml:space="preserve"> Engagement Rate</t>
  </si>
  <si>
    <t>Following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</si>
</sst>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14" fontId="1" fillId="0" borderId="0" xfId="1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0" xfId="0" applyFont="1"/>
    <xf numFmtId="0" fontId="0" fillId="0" borderId="1" xfId="0" applyNumberFormat="1" applyBorder="1"/>
  </cellXfs>
  <cellStyles count="2">
    <cellStyle name="Normal" xfId="0" builtinId="0"/>
    <cellStyle name="Normal 2" xfId="1" xr:uid="{24E9BFDD-88D4-4404-BA1D-D4DB26D11C38}"/>
  </cellStyles>
  <dxfs count="21">
    <dxf>
      <numFmt numFmtId="0" formatCode="General"/>
    </dxf>
    <dxf>
      <numFmt numFmtId="0" formatCode="General"/>
    </dxf>
    <dxf>
      <numFmt numFmtId="19" formatCode="dd/mm/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Rate vs Ad Spend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6DDE802-17FE-43B3-A477-1EBE7AB99767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{D6DDE802-17FE-43B3-A477-1EBE7AB99767}</c15:txfldGUID>
                      <c15:f>Engagement_vs_Spend!$E$4</c15:f>
                      <c15:dlblFieldTableCache>
                        <c:ptCount val="1"/>
                        <c:pt idx="0">
                          <c:v>Facebook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C4F1-467F-BF32-DE537C5917B9}"/>
                </c:ext>
              </c:extLst>
            </c:dLbl>
            <c:dLbl>
              <c:idx val="1"/>
              <c:layout>
                <c:manualLayout>
                  <c:x val="-6.3581866541770754E-2"/>
                  <c:y val="-5.293644819730030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4EC5714-2B5E-41A9-8C05-92E23D4011CB}" type="CELLREF">
                      <a:rPr lang="en-US" sz="1050"/>
                      <a:pPr>
                        <a:defRPr sz="1050"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100004127240459"/>
                      <c:h val="7.3886508572736209E-2"/>
                    </c:manualLayout>
                  </c15:layout>
                  <c15:dlblFieldTable>
                    <c15:dlblFTEntry>
                      <c15:txfldGUID>{24EC5714-2B5E-41A9-8C05-92E23D4011CB}</c15:txfldGUID>
                      <c15:f>Engagement_vs_Spend!$E$5</c15:f>
                      <c15:dlblFieldTableCache>
                        <c:ptCount val="1"/>
                        <c:pt idx="0">
                          <c:v>Instagram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C4F1-467F-BF32-DE537C5917B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9C1BF48-90FC-4EA9-B823-E0A854BAFC8E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{C9C1BF48-90FC-4EA9-B823-E0A854BAFC8E}</c15:txfldGUID>
                      <c15:f>Engagement_vs_Spend!$E$6</c15:f>
                      <c15:dlblFieldTableCache>
                        <c:ptCount val="1"/>
                        <c:pt idx="0">
                          <c:v>X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C4F1-467F-BF32-DE537C5917B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1AEEFAF-B37C-4A32-A0A5-3CB0751D8A1A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{B1AEEFAF-B37C-4A32-A0A5-3CB0751D8A1A}</c15:txfldGUID>
                      <c15:f>Engagement_vs_Spend!$E$7</c15:f>
                      <c15:dlblFieldTableCache>
                        <c:ptCount val="1"/>
                        <c:pt idx="0">
                          <c:v>Youtube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C4F1-467F-BF32-DE537C5917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Engagement_vs_Spend!$F$4:$F$7</c:f>
              <c:numCache>
                <c:formatCode>General</c:formatCode>
                <c:ptCount val="4"/>
                <c:pt idx="0">
                  <c:v>1379539</c:v>
                </c:pt>
                <c:pt idx="1">
                  <c:v>1164373</c:v>
                </c:pt>
                <c:pt idx="2">
                  <c:v>1060357</c:v>
                </c:pt>
                <c:pt idx="3">
                  <c:v>1228647</c:v>
                </c:pt>
              </c:numCache>
            </c:numRef>
          </c:xVal>
          <c:yVal>
            <c:numRef>
              <c:f>Engagement_vs_Spend!$G$4:$G$7</c:f>
              <c:numCache>
                <c:formatCode>General</c:formatCode>
                <c:ptCount val="4"/>
                <c:pt idx="0">
                  <c:v>5.6486000000000001</c:v>
                </c:pt>
                <c:pt idx="1">
                  <c:v>5.7156000000000002</c:v>
                </c:pt>
                <c:pt idx="2">
                  <c:v>5.6558000000000002</c:v>
                </c:pt>
                <c:pt idx="3">
                  <c:v>5.5587999999999997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F1-467F-BF32-DE537C5917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873994207"/>
        <c:axId val="1873997567"/>
      </c:scatterChart>
      <c:valAx>
        <c:axId val="1873994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997567"/>
        <c:crosses val="autoZero"/>
        <c:crossBetween val="midCat"/>
      </c:valAx>
      <c:valAx>
        <c:axId val="1873997567"/>
        <c:scaling>
          <c:orientation val="minMax"/>
          <c:max val="5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Engagement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994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239304</xdr:colOff>
      <xdr:row>2</xdr:row>
      <xdr:rowOff>10193</xdr:rowOff>
    </xdr:from>
    <xdr:to>
      <xdr:col>6</xdr:col>
      <xdr:colOff>503074</xdr:colOff>
      <xdr:row>7</xdr:row>
      <xdr:rowOff>119524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37955F0-692B-6AE4-6F31-1849FFD79625}"/>
            </a:ext>
          </a:extLst>
        </xdr:cNvPr>
        <xdr:cNvSpPr txBox="1"/>
      </xdr:nvSpPr>
      <xdr:spPr>
        <a:xfrm>
          <a:off x="3386695" y="381254"/>
          <a:ext cx="2702170" cy="1036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Instagram leads in engagement rate (~5.7%), </a:t>
          </a:r>
          <a:r>
            <a:rPr lang="en-US"/>
            <a:t>making it the strongest platform for interaction, while Twitter (X) works best for announcements and YouTube for product demos.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123824</xdr:colOff>
      <xdr:row>2</xdr:row>
      <xdr:rowOff>4762</xdr:rowOff>
    </xdr:from>
    <xdr:to>
      <xdr:col>6</xdr:col>
      <xdr:colOff>387594</xdr:colOff>
      <xdr:row>5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1F4A68-ED1B-4219-AB48-BCD109F9FC7F}"/>
            </a:ext>
          </a:extLst>
        </xdr:cNvPr>
        <xdr:cNvSpPr txBox="1"/>
      </xdr:nvSpPr>
      <xdr:spPr>
        <a:xfrm>
          <a:off x="2490787" y="366712"/>
          <a:ext cx="2702170" cy="6429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Instagram leads in follower growth</a:t>
          </a:r>
          <a:r>
            <a:rPr lang="en-US"/>
            <a:t>, followed by X and Facebook, while </a:t>
          </a:r>
          <a:r>
            <a:rPr lang="en-US" b="1"/>
            <a:t>YouTube shows the slowest growth</a:t>
          </a:r>
          <a:r>
            <a:rPr lang="en-US"/>
            <a:t> among platforms.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276923</xdr:colOff>
      <xdr:row>1</xdr:row>
      <xdr:rowOff>175427</xdr:rowOff>
    </xdr:from>
    <xdr:to>
      <xdr:col>11</xdr:col>
      <xdr:colOff>487993</xdr:colOff>
      <xdr:row>17</xdr:row>
      <xdr:rowOff>17540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086E41-0149-D4BB-6DBB-5CCDD4C9A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815009</xdr:colOff>
      <xdr:row>9</xdr:row>
      <xdr:rowOff>6625</xdr:rowOff>
    </xdr:from>
    <xdr:to>
      <xdr:col>2</xdr:col>
      <xdr:colOff>2258222</xdr:colOff>
      <xdr:row>13</xdr:row>
      <xdr:rowOff>112643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6182C6C-A4F5-4E72-91FD-0121ADA26193}"/>
            </a:ext>
          </a:extLst>
        </xdr:cNvPr>
        <xdr:cNvSpPr txBox="1"/>
      </xdr:nvSpPr>
      <xdr:spPr>
        <a:xfrm>
          <a:off x="815009" y="1676399"/>
          <a:ext cx="3364778" cy="848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Instagram delivers the highest engagement rate at a relatively lower ad spend</a:t>
          </a:r>
          <a:r>
            <a:rPr lang="en-US"/>
            <a:t> compared to Facebook and YouTube, indicating better ROI, while </a:t>
          </a:r>
          <a:r>
            <a:rPr lang="en-US" b="1"/>
            <a:t>YouTube requires higher spend to achieve lower engagement</a:t>
          </a:r>
          <a:r>
            <a:rPr lang="en-US"/>
            <a:t>.</a:t>
          </a:r>
          <a:endParaRPr lang="en-US" sz="1100"/>
        </a:p>
      </xdr:txBody>
    </xdr:sp>
    <xdr:clientData/>
  </xdr:twoCellAnchor>
  <xdr:twoCellAnchor>
    <xdr:from>
      <xdr:col>3</xdr:col>
      <xdr:colOff>242165</xdr:colOff>
      <xdr:row>18</xdr:row>
      <xdr:rowOff>3935</xdr:rowOff>
    </xdr:from>
    <xdr:to>
      <xdr:col>8</xdr:col>
      <xdr:colOff>295836</xdr:colOff>
      <xdr:row>21</xdr:row>
      <xdr:rowOff>130884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2CBD842-FE72-1596-8922-FB595BFD0D58}"/>
            </a:ext>
          </a:extLst>
        </xdr:cNvPr>
        <xdr:cNvSpPr txBox="1"/>
      </xdr:nvSpPr>
      <xdr:spPr>
        <a:xfrm>
          <a:off x="4428683" y="3231229"/>
          <a:ext cx="3514047" cy="6648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A multi-platform strategy is recommended: </a:t>
          </a:r>
          <a:r>
            <a:rPr lang="en-US"/>
            <a:t>Instagram for high-ROI engagement, Twitter (X) for announcements, and YouTube for product demos and brand storytelling.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s" refreshedDate="46007.717807754627" createdVersion="8" refreshedVersion="8" minRefreshableVersion="3" recordCount="200" xr:uid="{108CF11C-50A1-4415-93A0-71B4D6059B71}">
  <cacheSource type="worksheet">
    <worksheetSource name="Engagement_Treated"/>
  </cacheSource>
  <cacheFields count="7">
    <cacheField name="Week_Start_Date" numFmtId="14">
      <sharedItems containsSemiMixedTypes="0" containsNonDate="0" containsDate="1" containsString="0" minDate="2024-06-03T00:00:00" maxDate="2025-05-13T00:00:00"/>
    </cacheField>
    <cacheField name="Platform" numFmtId="0">
      <sharedItems count="4">
        <s v="Instagram"/>
        <s v="Facebook"/>
        <s v="X"/>
        <s v="Youtube"/>
      </sharedItems>
    </cacheField>
    <cacheField name="Followers_Gained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_Percent" numFmtId="0">
      <sharedItems containsSemiMixedTypes="0" containsString="0" containsNumber="1" minValue="1.53" maxValue="9.48" count="172">
        <n v="8.06"/>
        <n v="4.9800000000000004"/>
        <n v="8.31"/>
        <n v="4.1100000000000003"/>
        <n v="9.0500000000000007"/>
        <n v="2.37"/>
        <n v="4.01"/>
        <n v="3.16"/>
        <n v="2.46"/>
        <n v="8.11"/>
        <n v="8.19"/>
        <n v="3.49"/>
        <n v="6.92"/>
        <n v="9.1199999999999992"/>
        <n v="3.5"/>
        <n v="2.62"/>
        <n v="9.36"/>
        <n v="4.4800000000000004"/>
        <n v="6.19"/>
        <n v="8.7200000000000006"/>
        <n v="8.74"/>
        <n v="1.91"/>
        <n v="4.66"/>
        <n v="2.88"/>
        <n v="3.74"/>
        <n v="6.44"/>
        <n v="8.56"/>
        <n v="4.5599999999999996"/>
        <n v="7.88"/>
        <n v="7.86"/>
        <n v="5.34"/>
        <n v="5.52"/>
        <n v="4.05"/>
        <n v="7.73"/>
        <n v="4.3600000000000003"/>
        <n v="3.48"/>
        <n v="7.83"/>
        <n v="6.11"/>
        <n v="9.43"/>
        <n v="4.04"/>
        <n v="6.23"/>
        <n v="6.01"/>
        <n v="8.5500000000000007"/>
        <n v="5.42"/>
        <n v="3.25"/>
        <n v="8.84"/>
        <n v="7.24"/>
        <n v="5.71"/>
        <n v="9.0399999999999991"/>
        <n v="3.91"/>
        <n v="7.16"/>
        <n v="6.41"/>
        <n v="8.02"/>
        <n v="3.86"/>
        <n v="9.09"/>
        <n v="1.76"/>
        <n v="9.24"/>
        <n v="8.99"/>
        <n v="3.4"/>
        <n v="9.1999999999999993"/>
        <n v="8.59"/>
        <n v="2.36"/>
        <n v="7.36"/>
        <n v="8.1300000000000008"/>
        <n v="3.3"/>
        <n v="1.77"/>
        <n v="2.09"/>
        <n v="6.25"/>
        <n v="1.75"/>
        <n v="4.97"/>
        <n v="9.3000000000000007"/>
        <n v="8.9"/>
        <n v="3.88"/>
        <n v="5.9"/>
        <n v="1.53"/>
        <n v="6.5"/>
        <n v="8.25"/>
        <n v="5.41"/>
        <n v="5.85"/>
        <n v="4.46"/>
        <n v="5.22"/>
        <n v="1.99"/>
        <n v="6.85"/>
        <n v="3.32"/>
        <n v="5.68"/>
        <n v="6.08"/>
        <n v="8.6999999999999993"/>
        <n v="7.97"/>
        <n v="9.41"/>
        <n v="2.68"/>
        <n v="7.32"/>
        <n v="4.68"/>
        <n v="5.17"/>
        <n v="6.2"/>
        <n v="2.69"/>
        <n v="3.79"/>
        <n v="4.79"/>
        <n v="6.37"/>
        <n v="2.65"/>
        <n v="1.81"/>
        <n v="7.47"/>
        <n v="4.2"/>
        <n v="5.43"/>
        <n v="6.66"/>
        <n v="8.09"/>
        <n v="8.44"/>
        <n v="2.02"/>
        <n v="7.74"/>
        <n v="2.89"/>
        <n v="3.09"/>
        <n v="5.3"/>
        <n v="8.1999999999999993"/>
        <n v="2.2200000000000002"/>
        <n v="8.33"/>
        <n v="5.61"/>
        <n v="2.56"/>
        <n v="3.29"/>
        <n v="4.51"/>
        <n v="5.23"/>
        <n v="9.23"/>
        <n v="2.0099999999999998"/>
        <n v="3.72"/>
        <n v="3.89"/>
        <n v="6.95"/>
        <n v="9.48"/>
        <n v="4.6100000000000003"/>
        <n v="8.0299999999999994"/>
        <n v="6.99"/>
        <n v="9.0299999999999994"/>
        <n v="2.86"/>
        <n v="3.85"/>
        <n v="7.3"/>
        <n v="9.08"/>
        <n v="4.34"/>
        <n v="7.8"/>
        <n v="6.58"/>
        <n v="8.6199999999999992"/>
        <n v="4.55"/>
        <n v="9.4"/>
        <n v="7.23"/>
        <n v="9.39"/>
        <n v="5.12"/>
        <n v="4.9400000000000004"/>
        <n v="1.8"/>
        <n v="8.64"/>
        <n v="8.52"/>
        <n v="5.53"/>
        <n v="1.87"/>
        <n v="6.27"/>
        <n v="9.4600000000000009"/>
        <n v="7.5"/>
        <n v="4.7300000000000004"/>
        <n v="3.19"/>
        <n v="2.4900000000000002"/>
        <n v="4.5"/>
        <n v="6.49"/>
        <n v="6.73"/>
        <n v="4.83"/>
        <n v="6.54"/>
        <n v="6.8"/>
        <n v="2.6"/>
        <n v="2.44"/>
        <n v="5.69"/>
        <n v="1.6"/>
        <n v="6.09"/>
        <n v="5.59"/>
        <n v="3.55"/>
        <n v="5.21"/>
        <n v="1.82"/>
        <n v="4"/>
        <n v="7.57"/>
        <n v="6.81"/>
      </sharedItems>
    </cacheField>
    <cacheField name="Ad_Spend" numFmtId="0">
      <sharedItems containsSemiMixedTypes="0" containsString="0" containsNumber="1" containsInteger="1" minValue="1083" maxValue="497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1135"/>
    <n v="88"/>
    <n v="344084"/>
    <x v="0"/>
    <n v="5904"/>
  </r>
  <r>
    <d v="2024-06-03T00:00:00"/>
    <x v="1"/>
    <n v="1312"/>
    <n v="310"/>
    <n v="42654"/>
    <x v="1"/>
    <n v="9566"/>
  </r>
  <r>
    <d v="2024-06-03T00:00:00"/>
    <x v="2"/>
    <n v="584"/>
    <n v="169"/>
    <n v="146834"/>
    <x v="2"/>
    <n v="26752"/>
  </r>
  <r>
    <d v="2024-06-03T00:00:00"/>
    <x v="3"/>
    <n v="1535"/>
    <n v="445"/>
    <n v="395536"/>
    <x v="3"/>
    <n v="30671"/>
  </r>
  <r>
    <d v="2024-06-10T00:00:00"/>
    <x v="0"/>
    <n v="656"/>
    <n v="139"/>
    <n v="49157"/>
    <x v="4"/>
    <n v="9920"/>
  </r>
  <r>
    <d v="2024-06-10T00:00:00"/>
    <x v="1"/>
    <n v="1697"/>
    <n v="414"/>
    <n v="316555"/>
    <x v="5"/>
    <n v="7924"/>
  </r>
  <r>
    <d v="2024-06-10T00:00:00"/>
    <x v="2"/>
    <n v="436"/>
    <n v="250"/>
    <n v="254347"/>
    <x v="6"/>
    <n v="8912"/>
  </r>
  <r>
    <d v="2024-06-10T00:00:00"/>
    <x v="3"/>
    <n v="1197"/>
    <n v="203"/>
    <n v="413878"/>
    <x v="7"/>
    <n v="21205"/>
  </r>
  <r>
    <d v="2024-06-17T00:00:00"/>
    <x v="0"/>
    <n v="1048"/>
    <n v="155"/>
    <n v="456946"/>
    <x v="8"/>
    <n v="11329"/>
  </r>
  <r>
    <d v="2024-06-17T00:00:00"/>
    <x v="1"/>
    <n v="1753"/>
    <n v="371"/>
    <n v="169496"/>
    <x v="9"/>
    <n v="46670"/>
  </r>
  <r>
    <d v="2024-06-17T00:00:00"/>
    <x v="2"/>
    <n v="1335"/>
    <n v="40"/>
    <n v="122732"/>
    <x v="10"/>
    <n v="22482"/>
  </r>
  <r>
    <d v="2024-06-17T00:00:00"/>
    <x v="3"/>
    <n v="403"/>
    <n v="66"/>
    <n v="382851"/>
    <x v="11"/>
    <n v="24313"/>
  </r>
  <r>
    <d v="2024-06-24T00:00:00"/>
    <x v="0"/>
    <n v="911"/>
    <n v="282"/>
    <n v="35664"/>
    <x v="12"/>
    <n v="18050"/>
  </r>
  <r>
    <d v="2024-06-24T00:00:00"/>
    <x v="1"/>
    <n v="1779"/>
    <n v="109"/>
    <n v="26295"/>
    <x v="13"/>
    <n v="30635"/>
  </r>
  <r>
    <d v="2024-06-24T00:00:00"/>
    <x v="2"/>
    <n v="1238"/>
    <n v="403"/>
    <n v="298421"/>
    <x v="14"/>
    <n v="31280"/>
  </r>
  <r>
    <d v="2024-06-24T00:00:00"/>
    <x v="3"/>
    <n v="308"/>
    <n v="431"/>
    <n v="426184"/>
    <x v="15"/>
    <n v="1783"/>
  </r>
  <r>
    <d v="2024-07-01T00:00:00"/>
    <x v="0"/>
    <n v="226"/>
    <n v="445"/>
    <n v="419447"/>
    <x v="16"/>
    <n v="9566"/>
  </r>
  <r>
    <d v="2024-07-01T00:00:00"/>
    <x v="1"/>
    <n v="505"/>
    <n v="441"/>
    <n v="220020"/>
    <x v="17"/>
    <n v="42307"/>
  </r>
  <r>
    <d v="2024-07-01T00:00:00"/>
    <x v="2"/>
    <n v="1420"/>
    <n v="63"/>
    <n v="315305"/>
    <x v="18"/>
    <n v="5914"/>
  </r>
  <r>
    <d v="2024-07-01T00:00:00"/>
    <x v="3"/>
    <n v="144"/>
    <n v="53"/>
    <n v="113678"/>
    <x v="19"/>
    <n v="30060"/>
  </r>
  <r>
    <d v="2024-07-08T00:00:00"/>
    <x v="0"/>
    <n v="1757"/>
    <n v="85"/>
    <n v="58223"/>
    <x v="20"/>
    <n v="22728"/>
  </r>
  <r>
    <d v="2024-07-08T00:00:00"/>
    <x v="1"/>
    <n v="350"/>
    <n v="41"/>
    <n v="251694"/>
    <x v="21"/>
    <n v="38610"/>
  </r>
  <r>
    <d v="2024-07-08T00:00:00"/>
    <x v="2"/>
    <n v="987"/>
    <n v="440"/>
    <n v="389810"/>
    <x v="22"/>
    <n v="2932"/>
  </r>
  <r>
    <d v="2024-07-08T00:00:00"/>
    <x v="3"/>
    <n v="883"/>
    <n v="369"/>
    <n v="233694"/>
    <x v="23"/>
    <n v="15071"/>
  </r>
  <r>
    <d v="2024-07-15T00:00:00"/>
    <x v="0"/>
    <n v="1960"/>
    <n v="115"/>
    <n v="154169"/>
    <x v="24"/>
    <n v="10740"/>
  </r>
  <r>
    <d v="2024-07-15T00:00:00"/>
    <x v="1"/>
    <n v="170"/>
    <n v="334"/>
    <n v="334626"/>
    <x v="25"/>
    <n v="43420"/>
  </r>
  <r>
    <d v="2024-07-15T00:00:00"/>
    <x v="2"/>
    <n v="704"/>
    <n v="275"/>
    <n v="226002"/>
    <x v="26"/>
    <n v="32393"/>
  </r>
  <r>
    <d v="2024-07-15T00:00:00"/>
    <x v="3"/>
    <n v="224"/>
    <n v="64"/>
    <n v="156683"/>
    <x v="27"/>
    <n v="28474"/>
  </r>
  <r>
    <d v="2024-07-22T00:00:00"/>
    <x v="0"/>
    <n v="508"/>
    <n v="349"/>
    <n v="473812"/>
    <x v="28"/>
    <n v="17328"/>
  </r>
  <r>
    <d v="2024-07-22T00:00:00"/>
    <x v="1"/>
    <n v="1391"/>
    <n v="430"/>
    <n v="295032"/>
    <x v="29"/>
    <n v="26067"/>
  </r>
  <r>
    <d v="2024-07-22T00:00:00"/>
    <x v="2"/>
    <n v="1701"/>
    <n v="385"/>
    <n v="198278"/>
    <x v="30"/>
    <n v="32763"/>
  </r>
  <r>
    <d v="2024-07-22T00:00:00"/>
    <x v="3"/>
    <n v="804"/>
    <n v="487"/>
    <n v="306564"/>
    <x v="31"/>
    <n v="26452"/>
  </r>
  <r>
    <d v="2024-07-29T00:00:00"/>
    <x v="0"/>
    <n v="653"/>
    <n v="112"/>
    <n v="23664"/>
    <x v="32"/>
    <n v="15353"/>
  </r>
  <r>
    <d v="2024-07-29T00:00:00"/>
    <x v="1"/>
    <n v="160"/>
    <n v="478"/>
    <n v="435034"/>
    <x v="33"/>
    <n v="4839"/>
  </r>
  <r>
    <d v="2024-07-29T00:00:00"/>
    <x v="2"/>
    <n v="1756"/>
    <n v="261"/>
    <n v="287574"/>
    <x v="34"/>
    <n v="39272"/>
  </r>
  <r>
    <d v="2024-07-29T00:00:00"/>
    <x v="3"/>
    <n v="576"/>
    <n v="101"/>
    <n v="62499"/>
    <x v="35"/>
    <n v="16804"/>
  </r>
  <r>
    <d v="2024-08-05T00:00:00"/>
    <x v="0"/>
    <n v="645"/>
    <n v="293"/>
    <n v="437968"/>
    <x v="36"/>
    <n v="49303"/>
  </r>
  <r>
    <d v="2024-08-05T00:00:00"/>
    <x v="1"/>
    <n v="214"/>
    <n v="411"/>
    <n v="125034"/>
    <x v="37"/>
    <n v="26455"/>
  </r>
  <r>
    <d v="2024-08-05T00:00:00"/>
    <x v="2"/>
    <n v="826"/>
    <n v="498"/>
    <n v="449994"/>
    <x v="38"/>
    <n v="12384"/>
  </r>
  <r>
    <d v="2024-08-05T00:00:00"/>
    <x v="3"/>
    <n v="460"/>
    <n v="141"/>
    <n v="320650"/>
    <x v="39"/>
    <n v="49372"/>
  </r>
  <r>
    <d v="2024-08-12T00:00:00"/>
    <x v="0"/>
    <n v="1528"/>
    <n v="203"/>
    <n v="489188"/>
    <x v="40"/>
    <n v="47101"/>
  </r>
  <r>
    <d v="2024-08-12T00:00:00"/>
    <x v="1"/>
    <n v="1534"/>
    <n v="200"/>
    <n v="307612"/>
    <x v="41"/>
    <n v="37903"/>
  </r>
  <r>
    <d v="2024-08-12T00:00:00"/>
    <x v="2"/>
    <n v="485"/>
    <n v="448"/>
    <n v="434883"/>
    <x v="42"/>
    <n v="33258"/>
  </r>
  <r>
    <d v="2024-08-12T00:00:00"/>
    <x v="3"/>
    <n v="1210"/>
    <n v="178"/>
    <n v="102042"/>
    <x v="43"/>
    <n v="6915"/>
  </r>
  <r>
    <d v="2024-08-19T00:00:00"/>
    <x v="0"/>
    <n v="215"/>
    <n v="139"/>
    <n v="325444"/>
    <x v="44"/>
    <n v="35501"/>
  </r>
  <r>
    <d v="2024-08-19T00:00:00"/>
    <x v="1"/>
    <n v="1078"/>
    <n v="20"/>
    <n v="183924"/>
    <x v="45"/>
    <n v="14203"/>
  </r>
  <r>
    <d v="2024-08-19T00:00:00"/>
    <x v="2"/>
    <n v="1751"/>
    <n v="86"/>
    <n v="188655"/>
    <x v="46"/>
    <n v="22206"/>
  </r>
  <r>
    <d v="2024-08-19T00:00:00"/>
    <x v="3"/>
    <n v="221"/>
    <n v="31"/>
    <n v="87443"/>
    <x v="18"/>
    <n v="10283"/>
  </r>
  <r>
    <d v="2024-08-26T00:00:00"/>
    <x v="0"/>
    <n v="1685"/>
    <n v="76"/>
    <n v="453799"/>
    <x v="47"/>
    <n v="24913"/>
  </r>
  <r>
    <d v="2024-08-26T00:00:00"/>
    <x v="1"/>
    <n v="248"/>
    <n v="211"/>
    <n v="379380"/>
    <x v="48"/>
    <n v="26925"/>
  </r>
  <r>
    <d v="2024-08-26T00:00:00"/>
    <x v="2"/>
    <n v="1300"/>
    <n v="71"/>
    <n v="186454"/>
    <x v="49"/>
    <n v="9942"/>
  </r>
  <r>
    <d v="2024-08-26T00:00:00"/>
    <x v="3"/>
    <n v="422"/>
    <n v="394"/>
    <n v="239044"/>
    <x v="36"/>
    <n v="32929"/>
  </r>
  <r>
    <d v="2024-09-02T00:00:00"/>
    <x v="0"/>
    <n v="1429"/>
    <n v="182"/>
    <n v="101332"/>
    <x v="50"/>
    <n v="37829"/>
  </r>
  <r>
    <d v="2024-09-02T00:00:00"/>
    <x v="1"/>
    <n v="1520"/>
    <n v="475"/>
    <n v="496982"/>
    <x v="51"/>
    <n v="24384"/>
  </r>
  <r>
    <d v="2024-09-02T00:00:00"/>
    <x v="2"/>
    <n v="557"/>
    <n v="360"/>
    <n v="318779"/>
    <x v="52"/>
    <n v="25797"/>
  </r>
  <r>
    <d v="2024-09-02T00:00:00"/>
    <x v="3"/>
    <n v="728"/>
    <n v="395"/>
    <n v="370971"/>
    <x v="53"/>
    <n v="12646"/>
  </r>
  <r>
    <d v="2024-09-09T00:00:00"/>
    <x v="0"/>
    <n v="1592"/>
    <n v="20"/>
    <n v="378054"/>
    <x v="54"/>
    <n v="26663"/>
  </r>
  <r>
    <d v="2024-09-09T00:00:00"/>
    <x v="1"/>
    <n v="1842"/>
    <n v="414"/>
    <n v="307524"/>
    <x v="55"/>
    <n v="40478"/>
  </r>
  <r>
    <d v="2024-09-09T00:00:00"/>
    <x v="2"/>
    <n v="751"/>
    <n v="491"/>
    <n v="434047"/>
    <x v="56"/>
    <n v="15476"/>
  </r>
  <r>
    <d v="2024-09-09T00:00:00"/>
    <x v="3"/>
    <n v="1409"/>
    <n v="309"/>
    <n v="64583"/>
    <x v="57"/>
    <n v="10217"/>
  </r>
  <r>
    <d v="2024-09-16T00:00:00"/>
    <x v="0"/>
    <n v="778"/>
    <n v="401"/>
    <n v="50793"/>
    <x v="58"/>
    <n v="21939"/>
  </r>
  <r>
    <d v="2024-09-16T00:00:00"/>
    <x v="1"/>
    <n v="443"/>
    <n v="345"/>
    <n v="474162"/>
    <x v="59"/>
    <n v="47462"/>
  </r>
  <r>
    <d v="2024-09-16T00:00:00"/>
    <x v="2"/>
    <n v="1472"/>
    <n v="347"/>
    <n v="392355"/>
    <x v="60"/>
    <n v="30270"/>
  </r>
  <r>
    <d v="2024-09-16T00:00:00"/>
    <x v="3"/>
    <n v="123"/>
    <n v="155"/>
    <n v="119934"/>
    <x v="14"/>
    <n v="5442"/>
  </r>
  <r>
    <d v="2024-09-23T00:00:00"/>
    <x v="0"/>
    <n v="817"/>
    <n v="151"/>
    <n v="422625"/>
    <x v="61"/>
    <n v="1083"/>
  </r>
  <r>
    <d v="2024-09-23T00:00:00"/>
    <x v="1"/>
    <n v="198"/>
    <n v="217"/>
    <n v="239753"/>
    <x v="62"/>
    <n v="11901"/>
  </r>
  <r>
    <d v="2024-09-23T00:00:00"/>
    <x v="2"/>
    <n v="1911"/>
    <n v="231"/>
    <n v="268516"/>
    <x v="42"/>
    <n v="24018"/>
  </r>
  <r>
    <d v="2024-09-23T00:00:00"/>
    <x v="3"/>
    <n v="1218"/>
    <n v="212"/>
    <n v="63177"/>
    <x v="63"/>
    <n v="38883"/>
  </r>
  <r>
    <d v="2024-09-30T00:00:00"/>
    <x v="0"/>
    <n v="1433"/>
    <n v="408"/>
    <n v="370269"/>
    <x v="64"/>
    <n v="30575"/>
  </r>
  <r>
    <d v="2024-09-30T00:00:00"/>
    <x v="1"/>
    <n v="250"/>
    <n v="429"/>
    <n v="453423"/>
    <x v="65"/>
    <n v="2315"/>
  </r>
  <r>
    <d v="2024-09-30T00:00:00"/>
    <x v="2"/>
    <n v="752"/>
    <n v="153"/>
    <n v="64906"/>
    <x v="66"/>
    <n v="12148"/>
  </r>
  <r>
    <d v="2024-09-30T00:00:00"/>
    <x v="3"/>
    <n v="1918"/>
    <n v="212"/>
    <n v="94360"/>
    <x v="62"/>
    <n v="36851"/>
  </r>
  <r>
    <d v="2024-10-07T00:00:00"/>
    <x v="0"/>
    <n v="1939"/>
    <n v="67"/>
    <n v="187183"/>
    <x v="67"/>
    <n v="41215"/>
  </r>
  <r>
    <d v="2024-10-07T00:00:00"/>
    <x v="1"/>
    <n v="1929"/>
    <n v="267"/>
    <n v="379363"/>
    <x v="68"/>
    <n v="43836"/>
  </r>
  <r>
    <d v="2024-10-07T00:00:00"/>
    <x v="2"/>
    <n v="437"/>
    <n v="330"/>
    <n v="476486"/>
    <x v="69"/>
    <n v="4509"/>
  </r>
  <r>
    <d v="2024-10-07T00:00:00"/>
    <x v="3"/>
    <n v="307"/>
    <n v="189"/>
    <n v="117767"/>
    <x v="70"/>
    <n v="27822"/>
  </r>
  <r>
    <d v="2024-10-14T00:00:00"/>
    <x v="0"/>
    <n v="1527"/>
    <n v="303"/>
    <n v="388555"/>
    <x v="71"/>
    <n v="36397"/>
  </r>
  <r>
    <d v="2024-10-14T00:00:00"/>
    <x v="1"/>
    <n v="643"/>
    <n v="358"/>
    <n v="157599"/>
    <x v="72"/>
    <n v="7285"/>
  </r>
  <r>
    <d v="2024-10-14T00:00:00"/>
    <x v="2"/>
    <n v="201"/>
    <n v="221"/>
    <n v="309772"/>
    <x v="73"/>
    <n v="33174"/>
  </r>
  <r>
    <d v="2024-10-14T00:00:00"/>
    <x v="3"/>
    <n v="414"/>
    <n v="47"/>
    <n v="199178"/>
    <x v="74"/>
    <n v="6742"/>
  </r>
  <r>
    <d v="2024-10-21T00:00:00"/>
    <x v="0"/>
    <n v="703"/>
    <n v="441"/>
    <n v="357089"/>
    <x v="75"/>
    <n v="32478"/>
  </r>
  <r>
    <d v="2024-10-21T00:00:00"/>
    <x v="1"/>
    <n v="508"/>
    <n v="69"/>
    <n v="23492"/>
    <x v="7"/>
    <n v="42824"/>
  </r>
  <r>
    <d v="2024-10-21T00:00:00"/>
    <x v="2"/>
    <n v="697"/>
    <n v="61"/>
    <n v="258287"/>
    <x v="76"/>
    <n v="21208"/>
  </r>
  <r>
    <d v="2024-10-21T00:00:00"/>
    <x v="3"/>
    <n v="1707"/>
    <n v="223"/>
    <n v="256910"/>
    <x v="77"/>
    <n v="44321"/>
  </r>
  <r>
    <d v="2024-10-28T00:00:00"/>
    <x v="0"/>
    <n v="642"/>
    <n v="66"/>
    <n v="346522"/>
    <x v="78"/>
    <n v="13116"/>
  </r>
  <r>
    <d v="2024-10-28T00:00:00"/>
    <x v="1"/>
    <n v="859"/>
    <n v="473"/>
    <n v="209987"/>
    <x v="79"/>
    <n v="30214"/>
  </r>
  <r>
    <d v="2024-10-28T00:00:00"/>
    <x v="2"/>
    <n v="191"/>
    <n v="154"/>
    <n v="240550"/>
    <x v="80"/>
    <n v="15827"/>
  </r>
  <r>
    <d v="2024-10-28T00:00:00"/>
    <x v="3"/>
    <n v="1814"/>
    <n v="157"/>
    <n v="305827"/>
    <x v="81"/>
    <n v="46643"/>
  </r>
  <r>
    <d v="2024-11-04T00:00:00"/>
    <x v="0"/>
    <n v="1466"/>
    <n v="69"/>
    <n v="54935"/>
    <x v="82"/>
    <n v="36484"/>
  </r>
  <r>
    <d v="2024-11-04T00:00:00"/>
    <x v="1"/>
    <n v="947"/>
    <n v="407"/>
    <n v="319186"/>
    <x v="83"/>
    <n v="4996"/>
  </r>
  <r>
    <d v="2024-11-04T00:00:00"/>
    <x v="2"/>
    <n v="1821"/>
    <n v="218"/>
    <n v="439080"/>
    <x v="84"/>
    <n v="36095"/>
  </r>
  <r>
    <d v="2024-11-04T00:00:00"/>
    <x v="3"/>
    <n v="1507"/>
    <n v="463"/>
    <n v="258944"/>
    <x v="85"/>
    <n v="16443"/>
  </r>
  <r>
    <d v="2024-11-11T00:00:00"/>
    <x v="0"/>
    <n v="1075"/>
    <n v="173"/>
    <n v="51395"/>
    <x v="22"/>
    <n v="47812"/>
  </r>
  <r>
    <d v="2024-11-11T00:00:00"/>
    <x v="1"/>
    <n v="171"/>
    <n v="277"/>
    <n v="309483"/>
    <x v="86"/>
    <n v="38452"/>
  </r>
  <r>
    <d v="2024-11-11T00:00:00"/>
    <x v="2"/>
    <n v="1487"/>
    <n v="337"/>
    <n v="87305"/>
    <x v="8"/>
    <n v="30428"/>
  </r>
  <r>
    <d v="2024-11-11T00:00:00"/>
    <x v="3"/>
    <n v="454"/>
    <n v="105"/>
    <n v="121091"/>
    <x v="87"/>
    <n v="9269"/>
  </r>
  <r>
    <d v="2024-11-18T00:00:00"/>
    <x v="0"/>
    <n v="187"/>
    <n v="236"/>
    <n v="51087"/>
    <x v="88"/>
    <n v="29533"/>
  </r>
  <r>
    <d v="2024-11-18T00:00:00"/>
    <x v="1"/>
    <n v="513"/>
    <n v="441"/>
    <n v="338847"/>
    <x v="89"/>
    <n v="39997"/>
  </r>
  <r>
    <d v="2024-11-18T00:00:00"/>
    <x v="2"/>
    <n v="628"/>
    <n v="183"/>
    <n v="487523"/>
    <x v="90"/>
    <n v="5391"/>
  </r>
  <r>
    <d v="2024-11-18T00:00:00"/>
    <x v="3"/>
    <n v="278"/>
    <n v="218"/>
    <n v="301695"/>
    <x v="91"/>
    <n v="22373"/>
  </r>
  <r>
    <d v="2024-11-25T00:00:00"/>
    <x v="0"/>
    <n v="1854"/>
    <n v="161"/>
    <n v="282466"/>
    <x v="92"/>
    <n v="1810"/>
  </r>
  <r>
    <d v="2024-11-25T00:00:00"/>
    <x v="1"/>
    <n v="1710"/>
    <n v="378"/>
    <n v="336661"/>
    <x v="93"/>
    <n v="28498"/>
  </r>
  <r>
    <d v="2024-11-25T00:00:00"/>
    <x v="2"/>
    <n v="330"/>
    <n v="232"/>
    <n v="88455"/>
    <x v="94"/>
    <n v="39530"/>
  </r>
  <r>
    <d v="2024-11-25T00:00:00"/>
    <x v="3"/>
    <n v="1293"/>
    <n v="408"/>
    <n v="62535"/>
    <x v="71"/>
    <n v="37876"/>
  </r>
  <r>
    <d v="2024-12-02T00:00:00"/>
    <x v="0"/>
    <n v="1696"/>
    <n v="71"/>
    <n v="421957"/>
    <x v="95"/>
    <n v="36103"/>
  </r>
  <r>
    <d v="2024-12-02T00:00:00"/>
    <x v="1"/>
    <n v="1902"/>
    <n v="196"/>
    <n v="470269"/>
    <x v="96"/>
    <n v="26103"/>
  </r>
  <r>
    <d v="2024-12-02T00:00:00"/>
    <x v="2"/>
    <n v="1441"/>
    <n v="268"/>
    <n v="309904"/>
    <x v="97"/>
    <n v="3455"/>
  </r>
  <r>
    <d v="2024-12-02T00:00:00"/>
    <x v="3"/>
    <n v="452"/>
    <n v="161"/>
    <n v="221274"/>
    <x v="98"/>
    <n v="40888"/>
  </r>
  <r>
    <d v="2024-12-09T00:00:00"/>
    <x v="0"/>
    <n v="1494"/>
    <n v="375"/>
    <n v="220616"/>
    <x v="99"/>
    <n v="22724"/>
  </r>
  <r>
    <d v="2024-12-09T00:00:00"/>
    <x v="1"/>
    <n v="1514"/>
    <n v="141"/>
    <n v="35842"/>
    <x v="100"/>
    <n v="18601"/>
  </r>
  <r>
    <d v="2024-12-09T00:00:00"/>
    <x v="2"/>
    <n v="1937"/>
    <n v="210"/>
    <n v="20607"/>
    <x v="101"/>
    <n v="20861"/>
  </r>
  <r>
    <d v="2024-12-09T00:00:00"/>
    <x v="3"/>
    <n v="736"/>
    <n v="163"/>
    <n v="451894"/>
    <x v="102"/>
    <n v="46625"/>
  </r>
  <r>
    <d v="2024-12-16T00:00:00"/>
    <x v="0"/>
    <n v="1502"/>
    <n v="70"/>
    <n v="465553"/>
    <x v="83"/>
    <n v="20692"/>
  </r>
  <r>
    <d v="2024-12-16T00:00:00"/>
    <x v="1"/>
    <n v="1623"/>
    <n v="246"/>
    <n v="415815"/>
    <x v="9"/>
    <n v="18656"/>
  </r>
  <r>
    <d v="2024-12-16T00:00:00"/>
    <x v="2"/>
    <n v="1592"/>
    <n v="233"/>
    <n v="327183"/>
    <x v="103"/>
    <n v="13316"/>
  </r>
  <r>
    <d v="2024-12-16T00:00:00"/>
    <x v="3"/>
    <n v="1004"/>
    <n v="128"/>
    <n v="488901"/>
    <x v="104"/>
    <n v="49558"/>
  </r>
  <r>
    <d v="2024-12-23T00:00:00"/>
    <x v="0"/>
    <n v="1092"/>
    <n v="408"/>
    <n v="280795"/>
    <x v="105"/>
    <n v="4683"/>
  </r>
  <r>
    <d v="2024-12-23T00:00:00"/>
    <x v="1"/>
    <n v="1155"/>
    <n v="425"/>
    <n v="93347"/>
    <x v="106"/>
    <n v="47502"/>
  </r>
  <r>
    <d v="2024-12-23T00:00:00"/>
    <x v="2"/>
    <n v="1137"/>
    <n v="226"/>
    <n v="81119"/>
    <x v="107"/>
    <n v="35359"/>
  </r>
  <r>
    <d v="2024-12-23T00:00:00"/>
    <x v="3"/>
    <n v="1900"/>
    <n v="311"/>
    <n v="25177"/>
    <x v="108"/>
    <n v="14154"/>
  </r>
  <r>
    <d v="2024-12-30T00:00:00"/>
    <x v="0"/>
    <n v="1814"/>
    <n v="49"/>
    <n v="140804"/>
    <x v="55"/>
    <n v="4313"/>
  </r>
  <r>
    <d v="2024-12-30T00:00:00"/>
    <x v="1"/>
    <n v="1980"/>
    <n v="204"/>
    <n v="379431"/>
    <x v="109"/>
    <n v="25140"/>
  </r>
  <r>
    <d v="2024-12-30T00:00:00"/>
    <x v="2"/>
    <n v="1786"/>
    <n v="257"/>
    <n v="274831"/>
    <x v="91"/>
    <n v="9118"/>
  </r>
  <r>
    <d v="2024-12-30T00:00:00"/>
    <x v="3"/>
    <n v="1495"/>
    <n v="35"/>
    <n v="136845"/>
    <x v="17"/>
    <n v="39931"/>
  </r>
  <r>
    <d v="2025-01-06T00:00:00"/>
    <x v="0"/>
    <n v="1013"/>
    <n v="110"/>
    <n v="466382"/>
    <x v="110"/>
    <n v="37132"/>
  </r>
  <r>
    <d v="2025-01-06T00:00:00"/>
    <x v="1"/>
    <n v="816"/>
    <n v="196"/>
    <n v="95728"/>
    <x v="111"/>
    <n v="17951"/>
  </r>
  <r>
    <d v="2025-01-06T00:00:00"/>
    <x v="2"/>
    <n v="1633"/>
    <n v="445"/>
    <n v="371156"/>
    <x v="112"/>
    <n v="2798"/>
  </r>
  <r>
    <d v="2025-01-06T00:00:00"/>
    <x v="3"/>
    <n v="891"/>
    <n v="45"/>
    <n v="95410"/>
    <x v="113"/>
    <n v="15045"/>
  </r>
  <r>
    <d v="2025-01-13T00:00:00"/>
    <x v="0"/>
    <n v="1855"/>
    <n v="133"/>
    <n v="349413"/>
    <x v="64"/>
    <n v="14548"/>
  </r>
  <r>
    <d v="2025-01-13T00:00:00"/>
    <x v="1"/>
    <n v="651"/>
    <n v="353"/>
    <n v="224699"/>
    <x v="114"/>
    <n v="45708"/>
  </r>
  <r>
    <d v="2025-01-13T00:00:00"/>
    <x v="2"/>
    <n v="118"/>
    <n v="262"/>
    <n v="487896"/>
    <x v="115"/>
    <n v="12350"/>
  </r>
  <r>
    <d v="2025-01-13T00:00:00"/>
    <x v="3"/>
    <n v="1331"/>
    <n v="430"/>
    <n v="14437"/>
    <x v="116"/>
    <n v="40868"/>
  </r>
  <r>
    <d v="2025-01-20T00:00:00"/>
    <x v="0"/>
    <n v="1748"/>
    <n v="176"/>
    <n v="383681"/>
    <x v="56"/>
    <n v="43122"/>
  </r>
  <r>
    <d v="2025-01-20T00:00:00"/>
    <x v="1"/>
    <n v="663"/>
    <n v="236"/>
    <n v="479490"/>
    <x v="117"/>
    <n v="23853"/>
  </r>
  <r>
    <d v="2025-01-20T00:00:00"/>
    <x v="2"/>
    <n v="1040"/>
    <n v="149"/>
    <n v="124404"/>
    <x v="118"/>
    <n v="45380"/>
  </r>
  <r>
    <d v="2025-01-20T00:00:00"/>
    <x v="3"/>
    <n v="1166"/>
    <n v="442"/>
    <n v="336949"/>
    <x v="91"/>
    <n v="7705"/>
  </r>
  <r>
    <d v="2025-01-27T00:00:00"/>
    <x v="0"/>
    <n v="115"/>
    <n v="281"/>
    <n v="357265"/>
    <x v="119"/>
    <n v="25525"/>
  </r>
  <r>
    <d v="2025-01-27T00:00:00"/>
    <x v="1"/>
    <n v="1249"/>
    <n v="351"/>
    <n v="321307"/>
    <x v="97"/>
    <n v="20560"/>
  </r>
  <r>
    <d v="2025-01-27T00:00:00"/>
    <x v="2"/>
    <n v="1501"/>
    <n v="75"/>
    <n v="262569"/>
    <x v="120"/>
    <n v="19119"/>
  </r>
  <r>
    <d v="2025-01-27T00:00:00"/>
    <x v="3"/>
    <n v="1411"/>
    <n v="186"/>
    <n v="461669"/>
    <x v="121"/>
    <n v="43999"/>
  </r>
  <r>
    <d v="2025-02-03T00:00:00"/>
    <x v="0"/>
    <n v="1556"/>
    <n v="476"/>
    <n v="351556"/>
    <x v="122"/>
    <n v="10825"/>
  </r>
  <r>
    <d v="2025-02-03T00:00:00"/>
    <x v="1"/>
    <n v="1159"/>
    <n v="411"/>
    <n v="135987"/>
    <x v="86"/>
    <n v="40323"/>
  </r>
  <r>
    <d v="2025-02-03T00:00:00"/>
    <x v="2"/>
    <n v="927"/>
    <n v="358"/>
    <n v="177554"/>
    <x v="123"/>
    <n v="48270"/>
  </r>
  <r>
    <d v="2025-02-03T00:00:00"/>
    <x v="3"/>
    <n v="152"/>
    <n v="355"/>
    <n v="270766"/>
    <x v="124"/>
    <n v="18001"/>
  </r>
  <r>
    <d v="2025-02-10T00:00:00"/>
    <x v="0"/>
    <n v="1957"/>
    <n v="234"/>
    <n v="222126"/>
    <x v="125"/>
    <n v="3314"/>
  </r>
  <r>
    <d v="2025-02-10T00:00:00"/>
    <x v="1"/>
    <n v="1294"/>
    <n v="382"/>
    <n v="309914"/>
    <x v="126"/>
    <n v="23489"/>
  </r>
  <r>
    <d v="2025-02-10T00:00:00"/>
    <x v="2"/>
    <n v="1587"/>
    <n v="385"/>
    <n v="126582"/>
    <x v="127"/>
    <n v="42832"/>
  </r>
  <r>
    <d v="2025-02-10T00:00:00"/>
    <x v="3"/>
    <n v="1707"/>
    <n v="263"/>
    <n v="485280"/>
    <x v="128"/>
    <n v="24494"/>
  </r>
  <r>
    <d v="2025-02-17T00:00:00"/>
    <x v="0"/>
    <n v="1138"/>
    <n v="173"/>
    <n v="453243"/>
    <x v="129"/>
    <n v="44097"/>
  </r>
  <r>
    <d v="2025-02-17T00:00:00"/>
    <x v="1"/>
    <n v="1895"/>
    <n v="305"/>
    <n v="104967"/>
    <x v="130"/>
    <n v="31853"/>
  </r>
  <r>
    <d v="2025-02-17T00:00:00"/>
    <x v="2"/>
    <n v="362"/>
    <n v="399"/>
    <n v="145608"/>
    <x v="131"/>
    <n v="37636"/>
  </r>
  <r>
    <d v="2025-02-17T00:00:00"/>
    <x v="3"/>
    <n v="1662"/>
    <n v="487"/>
    <n v="105980"/>
    <x v="132"/>
    <n v="22996"/>
  </r>
  <r>
    <d v="2025-02-24T00:00:00"/>
    <x v="0"/>
    <n v="1440"/>
    <n v="65"/>
    <n v="126524"/>
    <x v="133"/>
    <n v="49772"/>
  </r>
  <r>
    <d v="2025-02-24T00:00:00"/>
    <x v="1"/>
    <n v="1884"/>
    <n v="177"/>
    <n v="230448"/>
    <x v="134"/>
    <n v="22713"/>
  </r>
  <r>
    <d v="2025-02-24T00:00:00"/>
    <x v="2"/>
    <n v="861"/>
    <n v="153"/>
    <n v="317007"/>
    <x v="130"/>
    <n v="8718"/>
  </r>
  <r>
    <d v="2025-02-24T00:00:00"/>
    <x v="3"/>
    <n v="1063"/>
    <n v="47"/>
    <n v="464239"/>
    <x v="135"/>
    <n v="39031"/>
  </r>
  <r>
    <d v="2025-03-03T00:00:00"/>
    <x v="0"/>
    <n v="1371"/>
    <n v="56"/>
    <n v="257579"/>
    <x v="136"/>
    <n v="33799"/>
  </r>
  <r>
    <d v="2025-03-03T00:00:00"/>
    <x v="1"/>
    <n v="345"/>
    <n v="464"/>
    <n v="366881"/>
    <x v="137"/>
    <n v="20553"/>
  </r>
  <r>
    <d v="2025-03-03T00:00:00"/>
    <x v="2"/>
    <n v="946"/>
    <n v="47"/>
    <n v="466575"/>
    <x v="113"/>
    <n v="10002"/>
  </r>
  <r>
    <d v="2025-03-03T00:00:00"/>
    <x v="3"/>
    <n v="510"/>
    <n v="195"/>
    <n v="224534"/>
    <x v="138"/>
    <n v="30987"/>
  </r>
  <r>
    <d v="2025-03-10T00:00:00"/>
    <x v="0"/>
    <n v="393"/>
    <n v="181"/>
    <n v="462142"/>
    <x v="139"/>
    <n v="6296"/>
  </r>
  <r>
    <d v="2025-03-10T00:00:00"/>
    <x v="1"/>
    <n v="1098"/>
    <n v="190"/>
    <n v="340842"/>
    <x v="140"/>
    <n v="21539"/>
  </r>
  <r>
    <d v="2025-03-10T00:00:00"/>
    <x v="2"/>
    <n v="1399"/>
    <n v="49"/>
    <n v="12471"/>
    <x v="141"/>
    <n v="14722"/>
  </r>
  <r>
    <d v="2025-03-10T00:00:00"/>
    <x v="3"/>
    <n v="1658"/>
    <n v="416"/>
    <n v="98397"/>
    <x v="37"/>
    <n v="11383"/>
  </r>
  <r>
    <d v="2025-03-17T00:00:00"/>
    <x v="0"/>
    <n v="1102"/>
    <n v="422"/>
    <n v="410330"/>
    <x v="107"/>
    <n v="9480"/>
  </r>
  <r>
    <d v="2025-03-17T00:00:00"/>
    <x v="1"/>
    <n v="1358"/>
    <n v="242"/>
    <n v="342129"/>
    <x v="142"/>
    <n v="29116"/>
  </r>
  <r>
    <d v="2025-03-17T00:00:00"/>
    <x v="2"/>
    <n v="1077"/>
    <n v="216"/>
    <n v="12447"/>
    <x v="143"/>
    <n v="14068"/>
  </r>
  <r>
    <d v="2025-03-17T00:00:00"/>
    <x v="3"/>
    <n v="1596"/>
    <n v="211"/>
    <n v="17380"/>
    <x v="144"/>
    <n v="35801"/>
  </r>
  <r>
    <d v="2025-03-24T00:00:00"/>
    <x v="0"/>
    <n v="490"/>
    <n v="29"/>
    <n v="364810"/>
    <x v="74"/>
    <n v="49077"/>
  </r>
  <r>
    <d v="2025-03-24T00:00:00"/>
    <x v="1"/>
    <n v="609"/>
    <n v="135"/>
    <n v="373606"/>
    <x v="145"/>
    <n v="21453"/>
  </r>
  <r>
    <d v="2025-03-24T00:00:00"/>
    <x v="2"/>
    <n v="364"/>
    <n v="72"/>
    <n v="211090"/>
    <x v="146"/>
    <n v="21061"/>
  </r>
  <r>
    <d v="2025-03-24T00:00:00"/>
    <x v="3"/>
    <n v="442"/>
    <n v="53"/>
    <n v="441931"/>
    <x v="147"/>
    <n v="20059"/>
  </r>
  <r>
    <d v="2025-03-31T00:00:00"/>
    <x v="0"/>
    <n v="1033"/>
    <n v="392"/>
    <n v="282780"/>
    <x v="148"/>
    <n v="23140"/>
  </r>
  <r>
    <d v="2025-03-31T00:00:00"/>
    <x v="1"/>
    <n v="988"/>
    <n v="474"/>
    <n v="370070"/>
    <x v="149"/>
    <n v="23461"/>
  </r>
  <r>
    <d v="2025-03-31T00:00:00"/>
    <x v="2"/>
    <n v="1946"/>
    <n v="270"/>
    <n v="198350"/>
    <x v="150"/>
    <n v="11805"/>
  </r>
  <r>
    <d v="2025-03-31T00:00:00"/>
    <x v="3"/>
    <n v="1957"/>
    <n v="490"/>
    <n v="435726"/>
    <x v="151"/>
    <n v="15969"/>
  </r>
  <r>
    <d v="2025-04-07T00:00:00"/>
    <x v="0"/>
    <n v="559"/>
    <n v="392"/>
    <n v="78789"/>
    <x v="152"/>
    <n v="2436"/>
  </r>
  <r>
    <d v="2025-04-07T00:00:00"/>
    <x v="1"/>
    <n v="1307"/>
    <n v="278"/>
    <n v="98596"/>
    <x v="153"/>
    <n v="47603"/>
  </r>
  <r>
    <d v="2025-04-07T00:00:00"/>
    <x v="2"/>
    <n v="1432"/>
    <n v="425"/>
    <n v="29589"/>
    <x v="154"/>
    <n v="42964"/>
  </r>
  <r>
    <d v="2025-04-07T00:00:00"/>
    <x v="3"/>
    <n v="623"/>
    <n v="414"/>
    <n v="290354"/>
    <x v="155"/>
    <n v="39923"/>
  </r>
  <r>
    <d v="2025-04-14T00:00:00"/>
    <x v="0"/>
    <n v="198"/>
    <n v="358"/>
    <n v="66682"/>
    <x v="156"/>
    <n v="2293"/>
  </r>
  <r>
    <d v="2025-04-14T00:00:00"/>
    <x v="1"/>
    <n v="198"/>
    <n v="373"/>
    <n v="70707"/>
    <x v="157"/>
    <n v="25920"/>
  </r>
  <r>
    <d v="2025-04-14T00:00:00"/>
    <x v="2"/>
    <n v="353"/>
    <n v="300"/>
    <n v="142507"/>
    <x v="110"/>
    <n v="11035"/>
  </r>
  <r>
    <d v="2025-04-14T00:00:00"/>
    <x v="3"/>
    <n v="520"/>
    <n v="375"/>
    <n v="369525"/>
    <x v="158"/>
    <n v="20733"/>
  </r>
  <r>
    <d v="2025-04-21T00:00:00"/>
    <x v="0"/>
    <n v="961"/>
    <n v="358"/>
    <n v="62942"/>
    <x v="159"/>
    <n v="18693"/>
  </r>
  <r>
    <d v="2025-04-21T00:00:00"/>
    <x v="1"/>
    <n v="1375"/>
    <n v="330"/>
    <n v="377382"/>
    <x v="160"/>
    <n v="7875"/>
  </r>
  <r>
    <d v="2025-04-21T00:00:00"/>
    <x v="2"/>
    <n v="1147"/>
    <n v="388"/>
    <n v="333851"/>
    <x v="161"/>
    <n v="8471"/>
  </r>
  <r>
    <d v="2025-04-21T00:00:00"/>
    <x v="3"/>
    <n v="1707"/>
    <n v="74"/>
    <n v="270958"/>
    <x v="109"/>
    <n v="14090"/>
  </r>
  <r>
    <d v="2025-04-28T00:00:00"/>
    <x v="0"/>
    <n v="1693"/>
    <n v="154"/>
    <n v="445944"/>
    <x v="162"/>
    <n v="14216"/>
  </r>
  <r>
    <d v="2025-04-28T00:00:00"/>
    <x v="1"/>
    <n v="833"/>
    <n v="380"/>
    <n v="224830"/>
    <x v="53"/>
    <n v="3582"/>
  </r>
  <r>
    <d v="2025-04-28T00:00:00"/>
    <x v="2"/>
    <n v="1222"/>
    <n v="274"/>
    <n v="487289"/>
    <x v="7"/>
    <n v="32500"/>
  </r>
  <r>
    <d v="2025-04-28T00:00:00"/>
    <x v="3"/>
    <n v="777"/>
    <n v="140"/>
    <n v="11435"/>
    <x v="163"/>
    <n v="6832"/>
  </r>
  <r>
    <d v="2025-05-05T00:00:00"/>
    <x v="0"/>
    <n v="1957"/>
    <n v="76"/>
    <n v="447902"/>
    <x v="164"/>
    <n v="33381"/>
  </r>
  <r>
    <d v="2025-05-05T00:00:00"/>
    <x v="1"/>
    <n v="405"/>
    <n v="66"/>
    <n v="418696"/>
    <x v="165"/>
    <n v="48419"/>
  </r>
  <r>
    <d v="2025-05-05T00:00:00"/>
    <x v="2"/>
    <n v="1581"/>
    <n v="71"/>
    <n v="484364"/>
    <x v="166"/>
    <n v="16149"/>
  </r>
  <r>
    <d v="2025-05-05T00:00:00"/>
    <x v="3"/>
    <n v="1035"/>
    <n v="171"/>
    <n v="148477"/>
    <x v="167"/>
    <n v="7541"/>
  </r>
  <r>
    <d v="2025-05-12T00:00:00"/>
    <x v="0"/>
    <n v="1765"/>
    <n v="109"/>
    <n v="468301"/>
    <x v="168"/>
    <n v="20042"/>
  </r>
  <r>
    <d v="2025-05-12T00:00:00"/>
    <x v="1"/>
    <n v="837"/>
    <n v="430"/>
    <n v="364820"/>
    <x v="169"/>
    <n v="49400"/>
  </r>
  <r>
    <d v="2025-05-12T00:00:00"/>
    <x v="2"/>
    <n v="337"/>
    <n v="68"/>
    <n v="456298"/>
    <x v="170"/>
    <n v="4007"/>
  </r>
  <r>
    <d v="2025-05-12T00:00:00"/>
    <x v="3"/>
    <n v="119"/>
    <n v="456"/>
    <n v="82558"/>
    <x v="171"/>
    <n v="121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689A83-CB39-4B2C-AC5D-5D5753EF4E5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7">
    <pivotField numFmtId="14" showAll="0"/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>
      <items count="173">
        <item x="74"/>
        <item x="163"/>
        <item x="68"/>
        <item x="55"/>
        <item x="65"/>
        <item x="143"/>
        <item x="99"/>
        <item x="168"/>
        <item x="147"/>
        <item x="21"/>
        <item x="81"/>
        <item x="120"/>
        <item x="106"/>
        <item x="66"/>
        <item x="112"/>
        <item x="61"/>
        <item x="5"/>
        <item x="161"/>
        <item x="8"/>
        <item x="153"/>
        <item x="115"/>
        <item x="160"/>
        <item x="15"/>
        <item x="98"/>
        <item x="89"/>
        <item x="94"/>
        <item x="129"/>
        <item x="23"/>
        <item x="108"/>
        <item x="109"/>
        <item x="7"/>
        <item x="152"/>
        <item x="44"/>
        <item x="116"/>
        <item x="64"/>
        <item x="83"/>
        <item x="58"/>
        <item x="35"/>
        <item x="11"/>
        <item x="14"/>
        <item x="166"/>
        <item x="121"/>
        <item x="24"/>
        <item x="95"/>
        <item x="130"/>
        <item x="53"/>
        <item x="72"/>
        <item x="122"/>
        <item x="49"/>
        <item x="169"/>
        <item x="6"/>
        <item x="39"/>
        <item x="32"/>
        <item x="3"/>
        <item x="101"/>
        <item x="133"/>
        <item x="34"/>
        <item x="79"/>
        <item x="17"/>
        <item x="154"/>
        <item x="117"/>
        <item x="137"/>
        <item x="27"/>
        <item x="125"/>
        <item x="22"/>
        <item x="91"/>
        <item x="151"/>
        <item x="96"/>
        <item x="157"/>
        <item x="142"/>
        <item x="69"/>
        <item x="1"/>
        <item x="141"/>
        <item x="92"/>
        <item x="167"/>
        <item x="80"/>
        <item x="118"/>
        <item x="110"/>
        <item x="30"/>
        <item x="77"/>
        <item x="43"/>
        <item x="102"/>
        <item x="31"/>
        <item x="146"/>
        <item x="165"/>
        <item x="114"/>
        <item x="84"/>
        <item x="162"/>
        <item x="47"/>
        <item x="78"/>
        <item x="73"/>
        <item x="41"/>
        <item x="85"/>
        <item x="164"/>
        <item x="37"/>
        <item x="18"/>
        <item x="93"/>
        <item x="40"/>
        <item x="67"/>
        <item x="148"/>
        <item x="97"/>
        <item x="51"/>
        <item x="25"/>
        <item x="155"/>
        <item x="75"/>
        <item x="158"/>
        <item x="135"/>
        <item x="103"/>
        <item x="156"/>
        <item x="159"/>
        <item x="171"/>
        <item x="82"/>
        <item x="12"/>
        <item x="123"/>
        <item x="127"/>
        <item x="50"/>
        <item x="139"/>
        <item x="46"/>
        <item x="131"/>
        <item x="90"/>
        <item x="62"/>
        <item x="100"/>
        <item x="150"/>
        <item x="170"/>
        <item x="33"/>
        <item x="107"/>
        <item x="134"/>
        <item x="36"/>
        <item x="29"/>
        <item x="28"/>
        <item x="87"/>
        <item x="52"/>
        <item x="126"/>
        <item x="0"/>
        <item x="104"/>
        <item x="9"/>
        <item x="63"/>
        <item x="10"/>
        <item x="111"/>
        <item x="76"/>
        <item x="2"/>
        <item x="113"/>
        <item x="105"/>
        <item x="145"/>
        <item x="42"/>
        <item x="26"/>
        <item x="60"/>
        <item x="136"/>
        <item x="144"/>
        <item x="86"/>
        <item x="19"/>
        <item x="20"/>
        <item x="45"/>
        <item x="71"/>
        <item x="57"/>
        <item x="128"/>
        <item x="48"/>
        <item x="4"/>
        <item x="132"/>
        <item x="54"/>
        <item x="13"/>
        <item x="59"/>
        <item x="119"/>
        <item x="56"/>
        <item x="70"/>
        <item x="16"/>
        <item x="140"/>
        <item x="138"/>
        <item x="88"/>
        <item x="38"/>
        <item x="149"/>
        <item x="124"/>
        <item t="default"/>
      </items>
    </pivotField>
    <pivotField showAll="0"/>
  </pivotFields>
  <rowFields count="1">
    <field x="1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Average of Engagement_Rate_Percent" fld="5" subtotal="average" baseField="1" baseItem="1"/>
  </dataFields>
  <formats count="6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5E296E-B97D-47DA-A398-EC98AFE7F40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7">
    <pivotField numFmtId="14" showAll="0"/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1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Sum of Followers_Gained" fld="2" baseField="0" baseItem="0"/>
  </dataFields>
  <formats count="6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7EB012-A9CF-4CE0-BB2A-87A20D6E6C2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8" firstHeaderRow="0" firstDataRow="1" firstDataCol="1"/>
  <pivotFields count="7">
    <pivotField numFmtId="14"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_Spend" fld="6" baseField="0" baseItem="0"/>
    <dataField name="Average of Engagement_Rate_Percent" fld="5" subtotal="average" baseField="1" baseItem="0"/>
  </dataFields>
  <formats count="6">
    <format dxfId="8">
      <pivotArea type="all" dataOnly="0" outline="0" fieldPosition="0"/>
    </format>
    <format dxfId="7">
      <pivotArea outline="0" collapsedLevelsAreSubtotals="1" fieldPosition="0"/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9533E7-172C-4CDD-8252-3D7764CE4ECB}" autoFormatId="16" applyNumberFormats="0" applyBorderFormats="0" applyFontFormats="0" applyPatternFormats="0" applyAlignmentFormats="0" applyWidthHeightFormats="0">
  <queryTableRefresh nextId="13" unboundColumnsRight="1">
    <queryTableFields count="8">
      <queryTableField id="1" name="Week_Start_Date" tableColumnId="1"/>
      <queryTableField id="2" name="Platform" tableColumnId="2"/>
      <queryTableField id="8" name="Followers_Gained" tableColumnId="8"/>
      <queryTableField id="4" name="Unfollows" tableColumnId="4"/>
      <queryTableField id="5" name="Total_Followers" tableColumnId="5"/>
      <queryTableField id="9" name="Engagement_Rate_Percent" tableColumnId="9"/>
      <queryTableField id="7" name="Ad_Spend" tableColumnId="7"/>
      <queryTableField id="12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B71A02-2D60-4A0C-89B0-386D4AAF58DD}" name="Engagement_Treated" displayName="Engagement_Treated" ref="A1:H201" tableType="queryTable" totalsRowShown="0">
  <autoFilter ref="A1:H201" xr:uid="{5F4213E0-4822-468F-BCA4-C3123221C62F}"/>
  <tableColumns count="8">
    <tableColumn id="1" xr3:uid="{67103D00-9B1B-4007-87BB-5A9FEF748F40}" uniqueName="1" name="Week_Start_Date" queryTableFieldId="1" dataDxfId="2"/>
    <tableColumn id="2" xr3:uid="{D4207473-D518-42FF-B581-6E9A728A6E56}" uniqueName="2" name="Platform" queryTableFieldId="2" dataDxfId="1"/>
    <tableColumn id="8" xr3:uid="{4B7A6B25-777D-4DB4-82BD-C7A022458373}" uniqueName="8" name="Followers_Gained" queryTableFieldId="8"/>
    <tableColumn id="4" xr3:uid="{95F39086-E05F-40C3-AB6F-A3AEA1275EB1}" uniqueName="4" name="Unfollows" queryTableFieldId="4"/>
    <tableColumn id="5" xr3:uid="{DD3E64FB-3151-4867-8362-70A2BAB3B319}" uniqueName="5" name="Total_Followers" queryTableFieldId="5"/>
    <tableColumn id="9" xr3:uid="{0B3D84A4-3912-4F33-9160-5328E8A534AD}" uniqueName="9" name="Engagement_Rate_Percent" queryTableFieldId="9"/>
    <tableColumn id="7" xr3:uid="{954DA3FD-71E6-4D4C-805B-CE9B1756FDE0}" uniqueName="7" name="Ad_Spend" queryTableFieldId="7"/>
    <tableColumn id="3" xr3:uid="{62CDB1CC-E28B-4C5F-9C39-674AE0B78F0D}" uniqueName="3" name="Net_Follower_Growth" queryTableFieldId="12" dataDxfId="0" dataCellStyle="Normal 2">
      <calculatedColumnFormula>Engagement_Treated[[#This Row],[Followers_Gained]]-Engagement_Treated[[#This Row],[Unfollows]]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9BF9F-3985-4662-96E6-A8B6F3D49160}">
  <dimension ref="A1:H201"/>
  <sheetViews>
    <sheetView zoomScaleNormal="100" workbookViewId="0">
      <selection activeCell="C2" sqref="C2:C6"/>
    </sheetView>
  </sheetViews>
  <sheetFormatPr defaultRowHeight="14.4" x14ac:dyDescent="0.3"/>
  <cols>
    <col min="1" max="1" width="18" style="1" bestFit="1" customWidth="1"/>
    <col min="2" max="2" width="10.5546875" style="1" bestFit="1" customWidth="1"/>
    <col min="3" max="3" width="18.109375" style="1" bestFit="1" customWidth="1"/>
    <col min="4" max="4" width="11.6640625" style="1" bestFit="1" customWidth="1"/>
    <col min="5" max="5" width="16.44140625" style="1" bestFit="1" customWidth="1"/>
    <col min="6" max="6" width="26.33203125" style="1" bestFit="1" customWidth="1"/>
    <col min="7" max="7" width="11.88671875" style="1" bestFit="1" customWidth="1"/>
    <col min="8" max="8" width="18.6640625" style="1" bestFit="1" customWidth="1"/>
    <col min="9" max="9" width="11.88671875" style="1" bestFit="1" customWidth="1"/>
    <col min="10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</row>
    <row r="2" spans="1:8" x14ac:dyDescent="0.3">
      <c r="A2" s="2">
        <v>45446</v>
      </c>
      <c r="B2" s="1" t="s">
        <v>7</v>
      </c>
      <c r="C2" s="1">
        <v>1135</v>
      </c>
      <c r="D2" s="1">
        <v>88</v>
      </c>
      <c r="E2" s="1">
        <v>344084</v>
      </c>
      <c r="F2" s="1">
        <v>8.06</v>
      </c>
      <c r="G2" s="1">
        <v>5904</v>
      </c>
      <c r="H2" s="1">
        <f>Engagement_Treated[[#This Row],[Followers_Gained]]-Engagement_Treated[[#This Row],[Unfollows]]</f>
        <v>1047</v>
      </c>
    </row>
    <row r="3" spans="1:8" x14ac:dyDescent="0.3">
      <c r="A3" s="2">
        <v>45446</v>
      </c>
      <c r="B3" s="1" t="s">
        <v>8</v>
      </c>
      <c r="C3" s="1">
        <v>1312</v>
      </c>
      <c r="D3" s="1">
        <v>310</v>
      </c>
      <c r="E3" s="1">
        <v>42654</v>
      </c>
      <c r="F3" s="1">
        <v>4.9800000000000004</v>
      </c>
      <c r="G3" s="1">
        <v>9566</v>
      </c>
      <c r="H3" s="1">
        <f>Engagement_Treated[[#This Row],[Followers_Gained]]-Engagement_Treated[[#This Row],[Unfollows]]</f>
        <v>1002</v>
      </c>
    </row>
    <row r="4" spans="1:8" x14ac:dyDescent="0.3">
      <c r="A4" s="2">
        <v>45446</v>
      </c>
      <c r="B4" s="1" t="s">
        <v>9</v>
      </c>
      <c r="C4" s="1">
        <v>584</v>
      </c>
      <c r="D4" s="1">
        <v>169</v>
      </c>
      <c r="E4" s="1">
        <v>146834</v>
      </c>
      <c r="F4" s="1">
        <v>8.31</v>
      </c>
      <c r="G4" s="1">
        <v>26752</v>
      </c>
      <c r="H4" s="1">
        <f>Engagement_Treated[[#This Row],[Followers_Gained]]-Engagement_Treated[[#This Row],[Unfollows]]</f>
        <v>415</v>
      </c>
    </row>
    <row r="5" spans="1:8" x14ac:dyDescent="0.3">
      <c r="A5" s="2">
        <v>45446</v>
      </c>
      <c r="B5" s="1" t="s">
        <v>10</v>
      </c>
      <c r="C5" s="1">
        <v>1535</v>
      </c>
      <c r="D5" s="1">
        <v>445</v>
      </c>
      <c r="E5" s="1">
        <v>395536</v>
      </c>
      <c r="F5" s="1">
        <v>4.1100000000000003</v>
      </c>
      <c r="G5" s="1">
        <v>30671</v>
      </c>
      <c r="H5" s="1">
        <f>Engagement_Treated[[#This Row],[Followers_Gained]]-Engagement_Treated[[#This Row],[Unfollows]]</f>
        <v>1090</v>
      </c>
    </row>
    <row r="6" spans="1:8" x14ac:dyDescent="0.3">
      <c r="A6" s="2">
        <v>45453</v>
      </c>
      <c r="B6" s="1" t="s">
        <v>7</v>
      </c>
      <c r="C6" s="1">
        <v>656</v>
      </c>
      <c r="D6" s="1">
        <v>139</v>
      </c>
      <c r="E6" s="1">
        <v>49157</v>
      </c>
      <c r="F6" s="1">
        <v>9.0500000000000007</v>
      </c>
      <c r="G6" s="1">
        <v>9920</v>
      </c>
      <c r="H6" s="1">
        <f>Engagement_Treated[[#This Row],[Followers_Gained]]-Engagement_Treated[[#This Row],[Unfollows]]</f>
        <v>517</v>
      </c>
    </row>
    <row r="7" spans="1:8" x14ac:dyDescent="0.3">
      <c r="A7" s="2">
        <v>45453</v>
      </c>
      <c r="B7" s="1" t="s">
        <v>8</v>
      </c>
      <c r="C7" s="1">
        <v>1697</v>
      </c>
      <c r="D7" s="1">
        <v>414</v>
      </c>
      <c r="E7" s="1">
        <v>316555</v>
      </c>
      <c r="F7" s="1">
        <v>2.37</v>
      </c>
      <c r="G7" s="1">
        <v>7924</v>
      </c>
      <c r="H7" s="1">
        <f>Engagement_Treated[[#This Row],[Followers_Gained]]-Engagement_Treated[[#This Row],[Unfollows]]</f>
        <v>1283</v>
      </c>
    </row>
    <row r="8" spans="1:8" x14ac:dyDescent="0.3">
      <c r="A8" s="2">
        <v>45453</v>
      </c>
      <c r="B8" s="1" t="s">
        <v>9</v>
      </c>
      <c r="C8" s="1">
        <v>436</v>
      </c>
      <c r="D8" s="1">
        <v>250</v>
      </c>
      <c r="E8" s="1">
        <v>254347</v>
      </c>
      <c r="F8" s="1">
        <v>4.01</v>
      </c>
      <c r="G8" s="1">
        <v>8912</v>
      </c>
      <c r="H8" s="1">
        <f>Engagement_Treated[[#This Row],[Followers_Gained]]-Engagement_Treated[[#This Row],[Unfollows]]</f>
        <v>186</v>
      </c>
    </row>
    <row r="9" spans="1:8" x14ac:dyDescent="0.3">
      <c r="A9" s="2">
        <v>45453</v>
      </c>
      <c r="B9" s="1" t="s">
        <v>10</v>
      </c>
      <c r="C9" s="1">
        <v>1197</v>
      </c>
      <c r="D9" s="1">
        <v>203</v>
      </c>
      <c r="E9" s="1">
        <v>413878</v>
      </c>
      <c r="F9" s="1">
        <v>3.16</v>
      </c>
      <c r="G9" s="1">
        <v>21205</v>
      </c>
      <c r="H9" s="1">
        <f>Engagement_Treated[[#This Row],[Followers_Gained]]-Engagement_Treated[[#This Row],[Unfollows]]</f>
        <v>994</v>
      </c>
    </row>
    <row r="10" spans="1:8" x14ac:dyDescent="0.3">
      <c r="A10" s="2">
        <v>45460</v>
      </c>
      <c r="B10" s="1" t="s">
        <v>7</v>
      </c>
      <c r="C10" s="1">
        <v>1048</v>
      </c>
      <c r="D10" s="1">
        <v>155</v>
      </c>
      <c r="E10" s="1">
        <v>456946</v>
      </c>
      <c r="F10" s="1">
        <v>2.46</v>
      </c>
      <c r="G10" s="1">
        <v>11329</v>
      </c>
      <c r="H10" s="1">
        <f>Engagement_Treated[[#This Row],[Followers_Gained]]-Engagement_Treated[[#This Row],[Unfollows]]</f>
        <v>893</v>
      </c>
    </row>
    <row r="11" spans="1:8" x14ac:dyDescent="0.3">
      <c r="A11" s="2">
        <v>45460</v>
      </c>
      <c r="B11" s="1" t="s">
        <v>8</v>
      </c>
      <c r="C11" s="1">
        <v>1753</v>
      </c>
      <c r="D11" s="1">
        <v>371</v>
      </c>
      <c r="E11" s="1">
        <v>169496</v>
      </c>
      <c r="F11" s="1">
        <v>8.11</v>
      </c>
      <c r="G11" s="1">
        <v>46670</v>
      </c>
      <c r="H11" s="1">
        <f>Engagement_Treated[[#This Row],[Followers_Gained]]-Engagement_Treated[[#This Row],[Unfollows]]</f>
        <v>1382</v>
      </c>
    </row>
    <row r="12" spans="1:8" x14ac:dyDescent="0.3">
      <c r="A12" s="2">
        <v>45460</v>
      </c>
      <c r="B12" s="1" t="s">
        <v>9</v>
      </c>
      <c r="C12" s="1">
        <v>1335</v>
      </c>
      <c r="D12" s="1">
        <v>40</v>
      </c>
      <c r="E12" s="1">
        <v>122732</v>
      </c>
      <c r="F12" s="1">
        <v>8.19</v>
      </c>
      <c r="G12" s="1">
        <v>22482</v>
      </c>
      <c r="H12" s="1">
        <f>Engagement_Treated[[#This Row],[Followers_Gained]]-Engagement_Treated[[#This Row],[Unfollows]]</f>
        <v>1295</v>
      </c>
    </row>
    <row r="13" spans="1:8" x14ac:dyDescent="0.3">
      <c r="A13" s="2">
        <v>45460</v>
      </c>
      <c r="B13" s="1" t="s">
        <v>10</v>
      </c>
      <c r="C13" s="1">
        <v>403</v>
      </c>
      <c r="D13" s="1">
        <v>66</v>
      </c>
      <c r="E13" s="1">
        <v>382851</v>
      </c>
      <c r="F13" s="1">
        <v>3.49</v>
      </c>
      <c r="G13" s="1">
        <v>24313</v>
      </c>
      <c r="H13" s="1">
        <f>Engagement_Treated[[#This Row],[Followers_Gained]]-Engagement_Treated[[#This Row],[Unfollows]]</f>
        <v>337</v>
      </c>
    </row>
    <row r="14" spans="1:8" x14ac:dyDescent="0.3">
      <c r="A14" s="2">
        <v>45467</v>
      </c>
      <c r="B14" s="1" t="s">
        <v>7</v>
      </c>
      <c r="C14" s="1">
        <v>911</v>
      </c>
      <c r="D14" s="1">
        <v>282</v>
      </c>
      <c r="E14" s="1">
        <v>35664</v>
      </c>
      <c r="F14" s="1">
        <v>6.92</v>
      </c>
      <c r="G14" s="1">
        <v>18050</v>
      </c>
      <c r="H14" s="1">
        <f>Engagement_Treated[[#This Row],[Followers_Gained]]-Engagement_Treated[[#This Row],[Unfollows]]</f>
        <v>629</v>
      </c>
    </row>
    <row r="15" spans="1:8" x14ac:dyDescent="0.3">
      <c r="A15" s="2">
        <v>45467</v>
      </c>
      <c r="B15" s="1" t="s">
        <v>8</v>
      </c>
      <c r="C15" s="1">
        <v>1779</v>
      </c>
      <c r="D15" s="1">
        <v>109</v>
      </c>
      <c r="E15" s="1">
        <v>26295</v>
      </c>
      <c r="F15" s="1">
        <v>9.1199999999999992</v>
      </c>
      <c r="G15" s="1">
        <v>30635</v>
      </c>
      <c r="H15" s="1">
        <f>Engagement_Treated[[#This Row],[Followers_Gained]]-Engagement_Treated[[#This Row],[Unfollows]]</f>
        <v>1670</v>
      </c>
    </row>
    <row r="16" spans="1:8" x14ac:dyDescent="0.3">
      <c r="A16" s="2">
        <v>45467</v>
      </c>
      <c r="B16" s="1" t="s">
        <v>9</v>
      </c>
      <c r="C16" s="1">
        <v>1238</v>
      </c>
      <c r="D16" s="1">
        <v>403</v>
      </c>
      <c r="E16" s="1">
        <v>298421</v>
      </c>
      <c r="F16" s="1">
        <v>3.5</v>
      </c>
      <c r="G16" s="1">
        <v>31280</v>
      </c>
      <c r="H16" s="1">
        <f>Engagement_Treated[[#This Row],[Followers_Gained]]-Engagement_Treated[[#This Row],[Unfollows]]</f>
        <v>835</v>
      </c>
    </row>
    <row r="17" spans="1:8" x14ac:dyDescent="0.3">
      <c r="A17" s="2">
        <v>45467</v>
      </c>
      <c r="B17" s="1" t="s">
        <v>10</v>
      </c>
      <c r="C17" s="1">
        <v>308</v>
      </c>
      <c r="D17" s="1">
        <v>431</v>
      </c>
      <c r="E17" s="1">
        <v>426184</v>
      </c>
      <c r="F17" s="1">
        <v>2.62</v>
      </c>
      <c r="G17" s="1">
        <v>1783</v>
      </c>
      <c r="H17" s="1">
        <f>Engagement_Treated[[#This Row],[Followers_Gained]]-Engagement_Treated[[#This Row],[Unfollows]]</f>
        <v>-123</v>
      </c>
    </row>
    <row r="18" spans="1:8" x14ac:dyDescent="0.3">
      <c r="A18" s="2">
        <v>45474</v>
      </c>
      <c r="B18" s="1" t="s">
        <v>7</v>
      </c>
      <c r="C18" s="1">
        <v>226</v>
      </c>
      <c r="D18" s="1">
        <v>445</v>
      </c>
      <c r="E18" s="1">
        <v>419447</v>
      </c>
      <c r="F18" s="1">
        <v>9.36</v>
      </c>
      <c r="G18" s="1">
        <v>9566</v>
      </c>
      <c r="H18" s="1">
        <f>Engagement_Treated[[#This Row],[Followers_Gained]]-Engagement_Treated[[#This Row],[Unfollows]]</f>
        <v>-219</v>
      </c>
    </row>
    <row r="19" spans="1:8" x14ac:dyDescent="0.3">
      <c r="A19" s="2">
        <v>45474</v>
      </c>
      <c r="B19" s="1" t="s">
        <v>8</v>
      </c>
      <c r="C19" s="1">
        <v>505</v>
      </c>
      <c r="D19" s="1">
        <v>441</v>
      </c>
      <c r="E19" s="1">
        <v>220020</v>
      </c>
      <c r="F19" s="1">
        <v>4.4800000000000004</v>
      </c>
      <c r="G19" s="1">
        <v>42307</v>
      </c>
      <c r="H19" s="1">
        <f>Engagement_Treated[[#This Row],[Followers_Gained]]-Engagement_Treated[[#This Row],[Unfollows]]</f>
        <v>64</v>
      </c>
    </row>
    <row r="20" spans="1:8" x14ac:dyDescent="0.3">
      <c r="A20" s="2">
        <v>45474</v>
      </c>
      <c r="B20" s="1" t="s">
        <v>9</v>
      </c>
      <c r="C20" s="1">
        <v>1420</v>
      </c>
      <c r="D20" s="1">
        <v>63</v>
      </c>
      <c r="E20" s="1">
        <v>315305</v>
      </c>
      <c r="F20" s="1">
        <v>6.19</v>
      </c>
      <c r="G20" s="1">
        <v>5914</v>
      </c>
      <c r="H20" s="1">
        <f>Engagement_Treated[[#This Row],[Followers_Gained]]-Engagement_Treated[[#This Row],[Unfollows]]</f>
        <v>1357</v>
      </c>
    </row>
    <row r="21" spans="1:8" x14ac:dyDescent="0.3">
      <c r="A21" s="2">
        <v>45474</v>
      </c>
      <c r="B21" s="1" t="s">
        <v>10</v>
      </c>
      <c r="C21" s="1">
        <v>144</v>
      </c>
      <c r="D21" s="1">
        <v>53</v>
      </c>
      <c r="E21" s="1">
        <v>113678</v>
      </c>
      <c r="F21" s="1">
        <v>8.7200000000000006</v>
      </c>
      <c r="G21" s="1">
        <v>30060</v>
      </c>
      <c r="H21" s="1">
        <f>Engagement_Treated[[#This Row],[Followers_Gained]]-Engagement_Treated[[#This Row],[Unfollows]]</f>
        <v>91</v>
      </c>
    </row>
    <row r="22" spans="1:8" x14ac:dyDescent="0.3">
      <c r="A22" s="2">
        <v>45481</v>
      </c>
      <c r="B22" s="1" t="s">
        <v>7</v>
      </c>
      <c r="C22" s="1">
        <v>1757</v>
      </c>
      <c r="D22" s="1">
        <v>85</v>
      </c>
      <c r="E22" s="1">
        <v>58223</v>
      </c>
      <c r="F22" s="1">
        <v>8.74</v>
      </c>
      <c r="G22" s="1">
        <v>22728</v>
      </c>
      <c r="H22" s="1">
        <f>Engagement_Treated[[#This Row],[Followers_Gained]]-Engagement_Treated[[#This Row],[Unfollows]]</f>
        <v>1672</v>
      </c>
    </row>
    <row r="23" spans="1:8" x14ac:dyDescent="0.3">
      <c r="A23" s="2">
        <v>45481</v>
      </c>
      <c r="B23" s="1" t="s">
        <v>8</v>
      </c>
      <c r="C23" s="1">
        <v>350</v>
      </c>
      <c r="D23" s="1">
        <v>41</v>
      </c>
      <c r="E23" s="1">
        <v>251694</v>
      </c>
      <c r="F23" s="1">
        <v>1.91</v>
      </c>
      <c r="G23" s="1">
        <v>38610</v>
      </c>
      <c r="H23" s="1">
        <f>Engagement_Treated[[#This Row],[Followers_Gained]]-Engagement_Treated[[#This Row],[Unfollows]]</f>
        <v>309</v>
      </c>
    </row>
    <row r="24" spans="1:8" x14ac:dyDescent="0.3">
      <c r="A24" s="2">
        <v>45481</v>
      </c>
      <c r="B24" s="1" t="s">
        <v>9</v>
      </c>
      <c r="C24" s="1">
        <v>987</v>
      </c>
      <c r="D24" s="1">
        <v>440</v>
      </c>
      <c r="E24" s="1">
        <v>389810</v>
      </c>
      <c r="F24" s="1">
        <v>4.66</v>
      </c>
      <c r="G24" s="1">
        <v>2932</v>
      </c>
      <c r="H24" s="1">
        <f>Engagement_Treated[[#This Row],[Followers_Gained]]-Engagement_Treated[[#This Row],[Unfollows]]</f>
        <v>547</v>
      </c>
    </row>
    <row r="25" spans="1:8" x14ac:dyDescent="0.3">
      <c r="A25" s="2">
        <v>45481</v>
      </c>
      <c r="B25" s="1" t="s">
        <v>10</v>
      </c>
      <c r="C25" s="1">
        <v>883</v>
      </c>
      <c r="D25" s="1">
        <v>369</v>
      </c>
      <c r="E25" s="1">
        <v>233694</v>
      </c>
      <c r="F25" s="1">
        <v>2.88</v>
      </c>
      <c r="G25" s="1">
        <v>15071</v>
      </c>
      <c r="H25" s="1">
        <f>Engagement_Treated[[#This Row],[Followers_Gained]]-Engagement_Treated[[#This Row],[Unfollows]]</f>
        <v>514</v>
      </c>
    </row>
    <row r="26" spans="1:8" x14ac:dyDescent="0.3">
      <c r="A26" s="2">
        <v>45488</v>
      </c>
      <c r="B26" s="1" t="s">
        <v>7</v>
      </c>
      <c r="C26" s="1">
        <v>1960</v>
      </c>
      <c r="D26" s="1">
        <v>115</v>
      </c>
      <c r="E26" s="1">
        <v>154169</v>
      </c>
      <c r="F26" s="1">
        <v>3.74</v>
      </c>
      <c r="G26" s="1">
        <v>10740</v>
      </c>
      <c r="H26" s="1">
        <f>Engagement_Treated[[#This Row],[Followers_Gained]]-Engagement_Treated[[#This Row],[Unfollows]]</f>
        <v>1845</v>
      </c>
    </row>
    <row r="27" spans="1:8" x14ac:dyDescent="0.3">
      <c r="A27" s="2">
        <v>45488</v>
      </c>
      <c r="B27" s="1" t="s">
        <v>8</v>
      </c>
      <c r="C27" s="1">
        <v>170</v>
      </c>
      <c r="D27" s="1">
        <v>334</v>
      </c>
      <c r="E27" s="1">
        <v>334626</v>
      </c>
      <c r="F27" s="1">
        <v>6.44</v>
      </c>
      <c r="G27" s="1">
        <v>43420</v>
      </c>
      <c r="H27" s="1">
        <f>Engagement_Treated[[#This Row],[Followers_Gained]]-Engagement_Treated[[#This Row],[Unfollows]]</f>
        <v>-164</v>
      </c>
    </row>
    <row r="28" spans="1:8" x14ac:dyDescent="0.3">
      <c r="A28" s="2">
        <v>45488</v>
      </c>
      <c r="B28" s="1" t="s">
        <v>9</v>
      </c>
      <c r="C28" s="1">
        <v>704</v>
      </c>
      <c r="D28" s="1">
        <v>275</v>
      </c>
      <c r="E28" s="1">
        <v>226002</v>
      </c>
      <c r="F28" s="1">
        <v>8.56</v>
      </c>
      <c r="G28" s="1">
        <v>32393</v>
      </c>
      <c r="H28" s="1">
        <f>Engagement_Treated[[#This Row],[Followers_Gained]]-Engagement_Treated[[#This Row],[Unfollows]]</f>
        <v>429</v>
      </c>
    </row>
    <row r="29" spans="1:8" x14ac:dyDescent="0.3">
      <c r="A29" s="2">
        <v>45488</v>
      </c>
      <c r="B29" s="1" t="s">
        <v>10</v>
      </c>
      <c r="C29" s="1">
        <v>224</v>
      </c>
      <c r="D29" s="1">
        <v>64</v>
      </c>
      <c r="E29" s="1">
        <v>156683</v>
      </c>
      <c r="F29" s="1">
        <v>4.5599999999999996</v>
      </c>
      <c r="G29" s="1">
        <v>28474</v>
      </c>
      <c r="H29" s="1">
        <f>Engagement_Treated[[#This Row],[Followers_Gained]]-Engagement_Treated[[#This Row],[Unfollows]]</f>
        <v>160</v>
      </c>
    </row>
    <row r="30" spans="1:8" x14ac:dyDescent="0.3">
      <c r="A30" s="2">
        <v>45495</v>
      </c>
      <c r="B30" s="1" t="s">
        <v>7</v>
      </c>
      <c r="C30" s="1">
        <v>508</v>
      </c>
      <c r="D30" s="1">
        <v>349</v>
      </c>
      <c r="E30" s="1">
        <v>473812</v>
      </c>
      <c r="F30" s="1">
        <v>7.88</v>
      </c>
      <c r="G30" s="1">
        <v>17328</v>
      </c>
      <c r="H30" s="1">
        <f>Engagement_Treated[[#This Row],[Followers_Gained]]-Engagement_Treated[[#This Row],[Unfollows]]</f>
        <v>159</v>
      </c>
    </row>
    <row r="31" spans="1:8" x14ac:dyDescent="0.3">
      <c r="A31" s="2">
        <v>45495</v>
      </c>
      <c r="B31" s="1" t="s">
        <v>8</v>
      </c>
      <c r="C31" s="1">
        <v>1391</v>
      </c>
      <c r="D31" s="1">
        <v>430</v>
      </c>
      <c r="E31" s="1">
        <v>295032</v>
      </c>
      <c r="F31" s="1">
        <v>7.86</v>
      </c>
      <c r="G31" s="1">
        <v>26067</v>
      </c>
      <c r="H31" s="1">
        <f>Engagement_Treated[[#This Row],[Followers_Gained]]-Engagement_Treated[[#This Row],[Unfollows]]</f>
        <v>961</v>
      </c>
    </row>
    <row r="32" spans="1:8" x14ac:dyDescent="0.3">
      <c r="A32" s="2">
        <v>45495</v>
      </c>
      <c r="B32" s="1" t="s">
        <v>9</v>
      </c>
      <c r="C32" s="1">
        <v>1701</v>
      </c>
      <c r="D32" s="1">
        <v>385</v>
      </c>
      <c r="E32" s="1">
        <v>198278</v>
      </c>
      <c r="F32" s="1">
        <v>5.34</v>
      </c>
      <c r="G32" s="1">
        <v>32763</v>
      </c>
      <c r="H32" s="1">
        <f>Engagement_Treated[[#This Row],[Followers_Gained]]-Engagement_Treated[[#This Row],[Unfollows]]</f>
        <v>1316</v>
      </c>
    </row>
    <row r="33" spans="1:8" x14ac:dyDescent="0.3">
      <c r="A33" s="2">
        <v>45495</v>
      </c>
      <c r="B33" s="1" t="s">
        <v>10</v>
      </c>
      <c r="C33" s="1">
        <v>804</v>
      </c>
      <c r="D33" s="1">
        <v>487</v>
      </c>
      <c r="E33" s="1">
        <v>306564</v>
      </c>
      <c r="F33" s="1">
        <v>5.52</v>
      </c>
      <c r="G33" s="1">
        <v>26452</v>
      </c>
      <c r="H33" s="1">
        <f>Engagement_Treated[[#This Row],[Followers_Gained]]-Engagement_Treated[[#This Row],[Unfollows]]</f>
        <v>317</v>
      </c>
    </row>
    <row r="34" spans="1:8" x14ac:dyDescent="0.3">
      <c r="A34" s="2">
        <v>45502</v>
      </c>
      <c r="B34" s="1" t="s">
        <v>7</v>
      </c>
      <c r="C34" s="1">
        <v>653</v>
      </c>
      <c r="D34" s="1">
        <v>112</v>
      </c>
      <c r="E34" s="1">
        <v>23664</v>
      </c>
      <c r="F34" s="1">
        <v>4.05</v>
      </c>
      <c r="G34" s="1">
        <v>15353</v>
      </c>
      <c r="H34" s="1">
        <f>Engagement_Treated[[#This Row],[Followers_Gained]]-Engagement_Treated[[#This Row],[Unfollows]]</f>
        <v>541</v>
      </c>
    </row>
    <row r="35" spans="1:8" x14ac:dyDescent="0.3">
      <c r="A35" s="2">
        <v>45502</v>
      </c>
      <c r="B35" s="1" t="s">
        <v>8</v>
      </c>
      <c r="C35" s="1">
        <v>160</v>
      </c>
      <c r="D35" s="1">
        <v>478</v>
      </c>
      <c r="E35" s="1">
        <v>435034</v>
      </c>
      <c r="F35" s="1">
        <v>7.73</v>
      </c>
      <c r="G35" s="1">
        <v>4839</v>
      </c>
      <c r="H35" s="1">
        <f>Engagement_Treated[[#This Row],[Followers_Gained]]-Engagement_Treated[[#This Row],[Unfollows]]</f>
        <v>-318</v>
      </c>
    </row>
    <row r="36" spans="1:8" x14ac:dyDescent="0.3">
      <c r="A36" s="2">
        <v>45502</v>
      </c>
      <c r="B36" s="1" t="s">
        <v>9</v>
      </c>
      <c r="C36" s="1">
        <v>1756</v>
      </c>
      <c r="D36" s="1">
        <v>261</v>
      </c>
      <c r="E36" s="1">
        <v>287574</v>
      </c>
      <c r="F36" s="1">
        <v>4.3600000000000003</v>
      </c>
      <c r="G36" s="1">
        <v>39272</v>
      </c>
      <c r="H36" s="1">
        <f>Engagement_Treated[[#This Row],[Followers_Gained]]-Engagement_Treated[[#This Row],[Unfollows]]</f>
        <v>1495</v>
      </c>
    </row>
    <row r="37" spans="1:8" x14ac:dyDescent="0.3">
      <c r="A37" s="2">
        <v>45502</v>
      </c>
      <c r="B37" s="1" t="s">
        <v>10</v>
      </c>
      <c r="C37" s="1">
        <v>576</v>
      </c>
      <c r="D37" s="1">
        <v>101</v>
      </c>
      <c r="E37" s="1">
        <v>62499</v>
      </c>
      <c r="F37" s="1">
        <v>3.48</v>
      </c>
      <c r="G37" s="1">
        <v>16804</v>
      </c>
      <c r="H37" s="1">
        <f>Engagement_Treated[[#This Row],[Followers_Gained]]-Engagement_Treated[[#This Row],[Unfollows]]</f>
        <v>475</v>
      </c>
    </row>
    <row r="38" spans="1:8" x14ac:dyDescent="0.3">
      <c r="A38" s="2">
        <v>45509</v>
      </c>
      <c r="B38" s="1" t="s">
        <v>7</v>
      </c>
      <c r="C38" s="1">
        <v>645</v>
      </c>
      <c r="D38" s="1">
        <v>293</v>
      </c>
      <c r="E38" s="1">
        <v>437968</v>
      </c>
      <c r="F38" s="1">
        <v>7.83</v>
      </c>
      <c r="G38" s="1">
        <v>49303</v>
      </c>
      <c r="H38" s="1">
        <f>Engagement_Treated[[#This Row],[Followers_Gained]]-Engagement_Treated[[#This Row],[Unfollows]]</f>
        <v>352</v>
      </c>
    </row>
    <row r="39" spans="1:8" x14ac:dyDescent="0.3">
      <c r="A39" s="2">
        <v>45509</v>
      </c>
      <c r="B39" s="1" t="s">
        <v>8</v>
      </c>
      <c r="C39" s="1">
        <v>214</v>
      </c>
      <c r="D39" s="1">
        <v>411</v>
      </c>
      <c r="E39" s="1">
        <v>125034</v>
      </c>
      <c r="F39" s="1">
        <v>6.11</v>
      </c>
      <c r="G39" s="1">
        <v>26455</v>
      </c>
      <c r="H39" s="1">
        <f>Engagement_Treated[[#This Row],[Followers_Gained]]-Engagement_Treated[[#This Row],[Unfollows]]</f>
        <v>-197</v>
      </c>
    </row>
    <row r="40" spans="1:8" x14ac:dyDescent="0.3">
      <c r="A40" s="2">
        <v>45509</v>
      </c>
      <c r="B40" s="1" t="s">
        <v>9</v>
      </c>
      <c r="C40" s="1">
        <v>826</v>
      </c>
      <c r="D40" s="1">
        <v>498</v>
      </c>
      <c r="E40" s="1">
        <v>449994</v>
      </c>
      <c r="F40" s="1">
        <v>9.43</v>
      </c>
      <c r="G40" s="1">
        <v>12384</v>
      </c>
      <c r="H40" s="1">
        <f>Engagement_Treated[[#This Row],[Followers_Gained]]-Engagement_Treated[[#This Row],[Unfollows]]</f>
        <v>328</v>
      </c>
    </row>
    <row r="41" spans="1:8" x14ac:dyDescent="0.3">
      <c r="A41" s="2">
        <v>45509</v>
      </c>
      <c r="B41" s="1" t="s">
        <v>10</v>
      </c>
      <c r="C41" s="1">
        <v>460</v>
      </c>
      <c r="D41" s="1">
        <v>141</v>
      </c>
      <c r="E41" s="1">
        <v>320650</v>
      </c>
      <c r="F41" s="1">
        <v>4.04</v>
      </c>
      <c r="G41" s="1">
        <v>49372</v>
      </c>
      <c r="H41" s="1">
        <f>Engagement_Treated[[#This Row],[Followers_Gained]]-Engagement_Treated[[#This Row],[Unfollows]]</f>
        <v>319</v>
      </c>
    </row>
    <row r="42" spans="1:8" x14ac:dyDescent="0.3">
      <c r="A42" s="2">
        <v>45516</v>
      </c>
      <c r="B42" s="1" t="s">
        <v>7</v>
      </c>
      <c r="C42" s="1">
        <v>1528</v>
      </c>
      <c r="D42" s="1">
        <v>203</v>
      </c>
      <c r="E42" s="1">
        <v>489188</v>
      </c>
      <c r="F42" s="1">
        <v>6.23</v>
      </c>
      <c r="G42" s="1">
        <v>47101</v>
      </c>
      <c r="H42" s="1">
        <f>Engagement_Treated[[#This Row],[Followers_Gained]]-Engagement_Treated[[#This Row],[Unfollows]]</f>
        <v>1325</v>
      </c>
    </row>
    <row r="43" spans="1:8" x14ac:dyDescent="0.3">
      <c r="A43" s="2">
        <v>45516</v>
      </c>
      <c r="B43" s="1" t="s">
        <v>8</v>
      </c>
      <c r="C43" s="1">
        <v>1534</v>
      </c>
      <c r="D43" s="1">
        <v>200</v>
      </c>
      <c r="E43" s="1">
        <v>307612</v>
      </c>
      <c r="F43" s="1">
        <v>6.01</v>
      </c>
      <c r="G43" s="1">
        <v>37903</v>
      </c>
      <c r="H43" s="1">
        <f>Engagement_Treated[[#This Row],[Followers_Gained]]-Engagement_Treated[[#This Row],[Unfollows]]</f>
        <v>1334</v>
      </c>
    </row>
    <row r="44" spans="1:8" x14ac:dyDescent="0.3">
      <c r="A44" s="2">
        <v>45516</v>
      </c>
      <c r="B44" s="1" t="s">
        <v>9</v>
      </c>
      <c r="C44" s="1">
        <v>485</v>
      </c>
      <c r="D44" s="1">
        <v>448</v>
      </c>
      <c r="E44" s="1">
        <v>434883</v>
      </c>
      <c r="F44" s="1">
        <v>8.5500000000000007</v>
      </c>
      <c r="G44" s="1">
        <v>33258</v>
      </c>
      <c r="H44" s="1">
        <f>Engagement_Treated[[#This Row],[Followers_Gained]]-Engagement_Treated[[#This Row],[Unfollows]]</f>
        <v>37</v>
      </c>
    </row>
    <row r="45" spans="1:8" x14ac:dyDescent="0.3">
      <c r="A45" s="2">
        <v>45516</v>
      </c>
      <c r="B45" s="1" t="s">
        <v>10</v>
      </c>
      <c r="C45" s="1">
        <v>1210</v>
      </c>
      <c r="D45" s="1">
        <v>178</v>
      </c>
      <c r="E45" s="1">
        <v>102042</v>
      </c>
      <c r="F45" s="1">
        <v>5.42</v>
      </c>
      <c r="G45" s="1">
        <v>6915</v>
      </c>
      <c r="H45" s="1">
        <f>Engagement_Treated[[#This Row],[Followers_Gained]]-Engagement_Treated[[#This Row],[Unfollows]]</f>
        <v>1032</v>
      </c>
    </row>
    <row r="46" spans="1:8" x14ac:dyDescent="0.3">
      <c r="A46" s="2">
        <v>45523</v>
      </c>
      <c r="B46" s="1" t="s">
        <v>7</v>
      </c>
      <c r="C46" s="1">
        <v>215</v>
      </c>
      <c r="D46" s="1">
        <v>139</v>
      </c>
      <c r="E46" s="1">
        <v>325444</v>
      </c>
      <c r="F46" s="1">
        <v>3.25</v>
      </c>
      <c r="G46" s="1">
        <v>35501</v>
      </c>
      <c r="H46" s="1">
        <f>Engagement_Treated[[#This Row],[Followers_Gained]]-Engagement_Treated[[#This Row],[Unfollows]]</f>
        <v>76</v>
      </c>
    </row>
    <row r="47" spans="1:8" x14ac:dyDescent="0.3">
      <c r="A47" s="2">
        <v>45523</v>
      </c>
      <c r="B47" s="1" t="s">
        <v>8</v>
      </c>
      <c r="C47" s="1">
        <v>1078</v>
      </c>
      <c r="D47" s="1">
        <v>20</v>
      </c>
      <c r="E47" s="1">
        <v>183924</v>
      </c>
      <c r="F47" s="1">
        <v>8.84</v>
      </c>
      <c r="G47" s="1">
        <v>14203</v>
      </c>
      <c r="H47" s="1">
        <f>Engagement_Treated[[#This Row],[Followers_Gained]]-Engagement_Treated[[#This Row],[Unfollows]]</f>
        <v>1058</v>
      </c>
    </row>
    <row r="48" spans="1:8" x14ac:dyDescent="0.3">
      <c r="A48" s="2">
        <v>45523</v>
      </c>
      <c r="B48" s="1" t="s">
        <v>9</v>
      </c>
      <c r="C48" s="1">
        <v>1751</v>
      </c>
      <c r="D48" s="1">
        <v>86</v>
      </c>
      <c r="E48" s="1">
        <v>188655</v>
      </c>
      <c r="F48" s="1">
        <v>7.24</v>
      </c>
      <c r="G48" s="1">
        <v>22206</v>
      </c>
      <c r="H48" s="1">
        <f>Engagement_Treated[[#This Row],[Followers_Gained]]-Engagement_Treated[[#This Row],[Unfollows]]</f>
        <v>1665</v>
      </c>
    </row>
    <row r="49" spans="1:8" x14ac:dyDescent="0.3">
      <c r="A49" s="2">
        <v>45523</v>
      </c>
      <c r="B49" s="1" t="s">
        <v>10</v>
      </c>
      <c r="C49" s="1">
        <v>221</v>
      </c>
      <c r="D49" s="1">
        <v>31</v>
      </c>
      <c r="E49" s="1">
        <v>87443</v>
      </c>
      <c r="F49" s="1">
        <v>6.19</v>
      </c>
      <c r="G49" s="1">
        <v>10283</v>
      </c>
      <c r="H49" s="1">
        <f>Engagement_Treated[[#This Row],[Followers_Gained]]-Engagement_Treated[[#This Row],[Unfollows]]</f>
        <v>190</v>
      </c>
    </row>
    <row r="50" spans="1:8" x14ac:dyDescent="0.3">
      <c r="A50" s="2">
        <v>45530</v>
      </c>
      <c r="B50" s="1" t="s">
        <v>7</v>
      </c>
      <c r="C50" s="1">
        <v>1685</v>
      </c>
      <c r="D50" s="1">
        <v>76</v>
      </c>
      <c r="E50" s="1">
        <v>453799</v>
      </c>
      <c r="F50" s="1">
        <v>5.71</v>
      </c>
      <c r="G50" s="1">
        <v>24913</v>
      </c>
      <c r="H50" s="1">
        <f>Engagement_Treated[[#This Row],[Followers_Gained]]-Engagement_Treated[[#This Row],[Unfollows]]</f>
        <v>1609</v>
      </c>
    </row>
    <row r="51" spans="1:8" x14ac:dyDescent="0.3">
      <c r="A51" s="2">
        <v>45530</v>
      </c>
      <c r="B51" s="1" t="s">
        <v>8</v>
      </c>
      <c r="C51" s="1">
        <v>248</v>
      </c>
      <c r="D51" s="1">
        <v>211</v>
      </c>
      <c r="E51" s="1">
        <v>379380</v>
      </c>
      <c r="F51" s="1">
        <v>9.0399999999999991</v>
      </c>
      <c r="G51" s="1">
        <v>26925</v>
      </c>
      <c r="H51" s="1">
        <f>Engagement_Treated[[#This Row],[Followers_Gained]]-Engagement_Treated[[#This Row],[Unfollows]]</f>
        <v>37</v>
      </c>
    </row>
    <row r="52" spans="1:8" x14ac:dyDescent="0.3">
      <c r="A52" s="2">
        <v>45530</v>
      </c>
      <c r="B52" s="1" t="s">
        <v>9</v>
      </c>
      <c r="C52" s="1">
        <v>1300</v>
      </c>
      <c r="D52" s="1">
        <v>71</v>
      </c>
      <c r="E52" s="1">
        <v>186454</v>
      </c>
      <c r="F52" s="1">
        <v>3.91</v>
      </c>
      <c r="G52" s="1">
        <v>9942</v>
      </c>
      <c r="H52" s="1">
        <f>Engagement_Treated[[#This Row],[Followers_Gained]]-Engagement_Treated[[#This Row],[Unfollows]]</f>
        <v>1229</v>
      </c>
    </row>
    <row r="53" spans="1:8" x14ac:dyDescent="0.3">
      <c r="A53" s="2">
        <v>45530</v>
      </c>
      <c r="B53" s="1" t="s">
        <v>10</v>
      </c>
      <c r="C53" s="1">
        <v>422</v>
      </c>
      <c r="D53" s="1">
        <v>394</v>
      </c>
      <c r="E53" s="1">
        <v>239044</v>
      </c>
      <c r="F53" s="1">
        <v>7.83</v>
      </c>
      <c r="G53" s="1">
        <v>32929</v>
      </c>
      <c r="H53" s="1">
        <f>Engagement_Treated[[#This Row],[Followers_Gained]]-Engagement_Treated[[#This Row],[Unfollows]]</f>
        <v>28</v>
      </c>
    </row>
    <row r="54" spans="1:8" x14ac:dyDescent="0.3">
      <c r="A54" s="2">
        <v>45537</v>
      </c>
      <c r="B54" s="1" t="s">
        <v>7</v>
      </c>
      <c r="C54" s="1">
        <v>1429</v>
      </c>
      <c r="D54" s="1">
        <v>182</v>
      </c>
      <c r="E54" s="1">
        <v>101332</v>
      </c>
      <c r="F54" s="1">
        <v>7.16</v>
      </c>
      <c r="G54" s="1">
        <v>37829</v>
      </c>
      <c r="H54" s="1">
        <f>Engagement_Treated[[#This Row],[Followers_Gained]]-Engagement_Treated[[#This Row],[Unfollows]]</f>
        <v>1247</v>
      </c>
    </row>
    <row r="55" spans="1:8" x14ac:dyDescent="0.3">
      <c r="A55" s="2">
        <v>45537</v>
      </c>
      <c r="B55" s="1" t="s">
        <v>8</v>
      </c>
      <c r="C55" s="1">
        <v>1520</v>
      </c>
      <c r="D55" s="1">
        <v>475</v>
      </c>
      <c r="E55" s="1">
        <v>496982</v>
      </c>
      <c r="F55" s="1">
        <v>6.41</v>
      </c>
      <c r="G55" s="1">
        <v>24384</v>
      </c>
      <c r="H55" s="1">
        <f>Engagement_Treated[[#This Row],[Followers_Gained]]-Engagement_Treated[[#This Row],[Unfollows]]</f>
        <v>1045</v>
      </c>
    </row>
    <row r="56" spans="1:8" x14ac:dyDescent="0.3">
      <c r="A56" s="2">
        <v>45537</v>
      </c>
      <c r="B56" s="1" t="s">
        <v>9</v>
      </c>
      <c r="C56" s="1">
        <v>557</v>
      </c>
      <c r="D56" s="1">
        <v>360</v>
      </c>
      <c r="E56" s="1">
        <v>318779</v>
      </c>
      <c r="F56" s="1">
        <v>8.02</v>
      </c>
      <c r="G56" s="1">
        <v>25797</v>
      </c>
      <c r="H56" s="1">
        <f>Engagement_Treated[[#This Row],[Followers_Gained]]-Engagement_Treated[[#This Row],[Unfollows]]</f>
        <v>197</v>
      </c>
    </row>
    <row r="57" spans="1:8" x14ac:dyDescent="0.3">
      <c r="A57" s="2">
        <v>45537</v>
      </c>
      <c r="B57" s="1" t="s">
        <v>10</v>
      </c>
      <c r="C57" s="1">
        <v>728</v>
      </c>
      <c r="D57" s="1">
        <v>395</v>
      </c>
      <c r="E57" s="1">
        <v>370971</v>
      </c>
      <c r="F57" s="1">
        <v>3.86</v>
      </c>
      <c r="G57" s="1">
        <v>12646</v>
      </c>
      <c r="H57" s="1">
        <f>Engagement_Treated[[#This Row],[Followers_Gained]]-Engagement_Treated[[#This Row],[Unfollows]]</f>
        <v>333</v>
      </c>
    </row>
    <row r="58" spans="1:8" x14ac:dyDescent="0.3">
      <c r="A58" s="2">
        <v>45544</v>
      </c>
      <c r="B58" s="1" t="s">
        <v>7</v>
      </c>
      <c r="C58" s="1">
        <v>1592</v>
      </c>
      <c r="D58" s="1">
        <v>20</v>
      </c>
      <c r="E58" s="1">
        <v>378054</v>
      </c>
      <c r="F58" s="1">
        <v>9.09</v>
      </c>
      <c r="G58" s="1">
        <v>26663</v>
      </c>
      <c r="H58" s="1">
        <f>Engagement_Treated[[#This Row],[Followers_Gained]]-Engagement_Treated[[#This Row],[Unfollows]]</f>
        <v>1572</v>
      </c>
    </row>
    <row r="59" spans="1:8" x14ac:dyDescent="0.3">
      <c r="A59" s="2">
        <v>45544</v>
      </c>
      <c r="B59" s="1" t="s">
        <v>8</v>
      </c>
      <c r="C59" s="1">
        <v>1842</v>
      </c>
      <c r="D59" s="1">
        <v>414</v>
      </c>
      <c r="E59" s="1">
        <v>307524</v>
      </c>
      <c r="F59" s="1">
        <v>1.76</v>
      </c>
      <c r="G59" s="1">
        <v>40478</v>
      </c>
      <c r="H59" s="1">
        <f>Engagement_Treated[[#This Row],[Followers_Gained]]-Engagement_Treated[[#This Row],[Unfollows]]</f>
        <v>1428</v>
      </c>
    </row>
    <row r="60" spans="1:8" x14ac:dyDescent="0.3">
      <c r="A60" s="2">
        <v>45544</v>
      </c>
      <c r="B60" s="1" t="s">
        <v>9</v>
      </c>
      <c r="C60" s="1">
        <v>751</v>
      </c>
      <c r="D60" s="1">
        <v>491</v>
      </c>
      <c r="E60" s="1">
        <v>434047</v>
      </c>
      <c r="F60" s="1">
        <v>9.24</v>
      </c>
      <c r="G60" s="1">
        <v>15476</v>
      </c>
      <c r="H60" s="1">
        <f>Engagement_Treated[[#This Row],[Followers_Gained]]-Engagement_Treated[[#This Row],[Unfollows]]</f>
        <v>260</v>
      </c>
    </row>
    <row r="61" spans="1:8" x14ac:dyDescent="0.3">
      <c r="A61" s="2">
        <v>45544</v>
      </c>
      <c r="B61" s="1" t="s">
        <v>10</v>
      </c>
      <c r="C61" s="1">
        <v>1409</v>
      </c>
      <c r="D61" s="1">
        <v>309</v>
      </c>
      <c r="E61" s="1">
        <v>64583</v>
      </c>
      <c r="F61" s="1">
        <v>8.99</v>
      </c>
      <c r="G61" s="1">
        <v>10217</v>
      </c>
      <c r="H61" s="1">
        <f>Engagement_Treated[[#This Row],[Followers_Gained]]-Engagement_Treated[[#This Row],[Unfollows]]</f>
        <v>1100</v>
      </c>
    </row>
    <row r="62" spans="1:8" x14ac:dyDescent="0.3">
      <c r="A62" s="2">
        <v>45551</v>
      </c>
      <c r="B62" s="1" t="s">
        <v>7</v>
      </c>
      <c r="C62" s="1">
        <v>778</v>
      </c>
      <c r="D62" s="1">
        <v>401</v>
      </c>
      <c r="E62" s="1">
        <v>50793</v>
      </c>
      <c r="F62" s="1">
        <v>3.4</v>
      </c>
      <c r="G62" s="1">
        <v>21939</v>
      </c>
      <c r="H62" s="1">
        <f>Engagement_Treated[[#This Row],[Followers_Gained]]-Engagement_Treated[[#This Row],[Unfollows]]</f>
        <v>377</v>
      </c>
    </row>
    <row r="63" spans="1:8" x14ac:dyDescent="0.3">
      <c r="A63" s="2">
        <v>45551</v>
      </c>
      <c r="B63" s="1" t="s">
        <v>8</v>
      </c>
      <c r="C63" s="1">
        <v>443</v>
      </c>
      <c r="D63" s="1">
        <v>345</v>
      </c>
      <c r="E63" s="1">
        <v>474162</v>
      </c>
      <c r="F63" s="1">
        <v>9.1999999999999993</v>
      </c>
      <c r="G63" s="1">
        <v>47462</v>
      </c>
      <c r="H63" s="1">
        <f>Engagement_Treated[[#This Row],[Followers_Gained]]-Engagement_Treated[[#This Row],[Unfollows]]</f>
        <v>98</v>
      </c>
    </row>
    <row r="64" spans="1:8" x14ac:dyDescent="0.3">
      <c r="A64" s="2">
        <v>45551</v>
      </c>
      <c r="B64" s="1" t="s">
        <v>9</v>
      </c>
      <c r="C64" s="1">
        <v>1472</v>
      </c>
      <c r="D64" s="1">
        <v>347</v>
      </c>
      <c r="E64" s="1">
        <v>392355</v>
      </c>
      <c r="F64" s="1">
        <v>8.59</v>
      </c>
      <c r="G64" s="1">
        <v>30270</v>
      </c>
      <c r="H64" s="1">
        <f>Engagement_Treated[[#This Row],[Followers_Gained]]-Engagement_Treated[[#This Row],[Unfollows]]</f>
        <v>1125</v>
      </c>
    </row>
    <row r="65" spans="1:8" x14ac:dyDescent="0.3">
      <c r="A65" s="2">
        <v>45551</v>
      </c>
      <c r="B65" s="1" t="s">
        <v>10</v>
      </c>
      <c r="C65" s="1">
        <v>123</v>
      </c>
      <c r="D65" s="1">
        <v>155</v>
      </c>
      <c r="E65" s="1">
        <v>119934</v>
      </c>
      <c r="F65" s="1">
        <v>3.5</v>
      </c>
      <c r="G65" s="1">
        <v>5442</v>
      </c>
      <c r="H65" s="1">
        <f>Engagement_Treated[[#This Row],[Followers_Gained]]-Engagement_Treated[[#This Row],[Unfollows]]</f>
        <v>-32</v>
      </c>
    </row>
    <row r="66" spans="1:8" x14ac:dyDescent="0.3">
      <c r="A66" s="2">
        <v>45558</v>
      </c>
      <c r="B66" s="1" t="s">
        <v>7</v>
      </c>
      <c r="C66" s="1">
        <v>817</v>
      </c>
      <c r="D66" s="1">
        <v>151</v>
      </c>
      <c r="E66" s="1">
        <v>422625</v>
      </c>
      <c r="F66" s="1">
        <v>2.36</v>
      </c>
      <c r="G66" s="1">
        <v>1083</v>
      </c>
      <c r="H66" s="1">
        <f>Engagement_Treated[[#This Row],[Followers_Gained]]-Engagement_Treated[[#This Row],[Unfollows]]</f>
        <v>666</v>
      </c>
    </row>
    <row r="67" spans="1:8" x14ac:dyDescent="0.3">
      <c r="A67" s="2">
        <v>45558</v>
      </c>
      <c r="B67" s="1" t="s">
        <v>8</v>
      </c>
      <c r="C67" s="1">
        <v>198</v>
      </c>
      <c r="D67" s="1">
        <v>217</v>
      </c>
      <c r="E67" s="1">
        <v>239753</v>
      </c>
      <c r="F67" s="1">
        <v>7.36</v>
      </c>
      <c r="G67" s="1">
        <v>11901</v>
      </c>
      <c r="H67" s="1">
        <f>Engagement_Treated[[#This Row],[Followers_Gained]]-Engagement_Treated[[#This Row],[Unfollows]]</f>
        <v>-19</v>
      </c>
    </row>
    <row r="68" spans="1:8" x14ac:dyDescent="0.3">
      <c r="A68" s="2">
        <v>45558</v>
      </c>
      <c r="B68" s="1" t="s">
        <v>9</v>
      </c>
      <c r="C68" s="1">
        <v>1911</v>
      </c>
      <c r="D68" s="1">
        <v>231</v>
      </c>
      <c r="E68" s="1">
        <v>268516</v>
      </c>
      <c r="F68" s="1">
        <v>8.5500000000000007</v>
      </c>
      <c r="G68" s="1">
        <v>24018</v>
      </c>
      <c r="H68" s="1">
        <f>Engagement_Treated[[#This Row],[Followers_Gained]]-Engagement_Treated[[#This Row],[Unfollows]]</f>
        <v>1680</v>
      </c>
    </row>
    <row r="69" spans="1:8" x14ac:dyDescent="0.3">
      <c r="A69" s="2">
        <v>45558</v>
      </c>
      <c r="B69" s="1" t="s">
        <v>10</v>
      </c>
      <c r="C69" s="1">
        <v>1218</v>
      </c>
      <c r="D69" s="1">
        <v>212</v>
      </c>
      <c r="E69" s="1">
        <v>63177</v>
      </c>
      <c r="F69" s="1">
        <v>8.1300000000000008</v>
      </c>
      <c r="G69" s="1">
        <v>38883</v>
      </c>
      <c r="H69" s="1">
        <f>Engagement_Treated[[#This Row],[Followers_Gained]]-Engagement_Treated[[#This Row],[Unfollows]]</f>
        <v>1006</v>
      </c>
    </row>
    <row r="70" spans="1:8" x14ac:dyDescent="0.3">
      <c r="A70" s="2">
        <v>45565</v>
      </c>
      <c r="B70" s="1" t="s">
        <v>7</v>
      </c>
      <c r="C70" s="1">
        <v>1433</v>
      </c>
      <c r="D70" s="1">
        <v>408</v>
      </c>
      <c r="E70" s="1">
        <v>370269</v>
      </c>
      <c r="F70" s="1">
        <v>3.3</v>
      </c>
      <c r="G70" s="1">
        <v>30575</v>
      </c>
      <c r="H70" s="1">
        <f>Engagement_Treated[[#This Row],[Followers_Gained]]-Engagement_Treated[[#This Row],[Unfollows]]</f>
        <v>1025</v>
      </c>
    </row>
    <row r="71" spans="1:8" x14ac:dyDescent="0.3">
      <c r="A71" s="2">
        <v>45565</v>
      </c>
      <c r="B71" s="1" t="s">
        <v>8</v>
      </c>
      <c r="C71" s="1">
        <v>250</v>
      </c>
      <c r="D71" s="1">
        <v>429</v>
      </c>
      <c r="E71" s="1">
        <v>453423</v>
      </c>
      <c r="F71" s="1">
        <v>1.77</v>
      </c>
      <c r="G71" s="1">
        <v>2315</v>
      </c>
      <c r="H71" s="1">
        <f>Engagement_Treated[[#This Row],[Followers_Gained]]-Engagement_Treated[[#This Row],[Unfollows]]</f>
        <v>-179</v>
      </c>
    </row>
    <row r="72" spans="1:8" x14ac:dyDescent="0.3">
      <c r="A72" s="2">
        <v>45565</v>
      </c>
      <c r="B72" s="1" t="s">
        <v>9</v>
      </c>
      <c r="C72" s="1">
        <v>752</v>
      </c>
      <c r="D72" s="1">
        <v>153</v>
      </c>
      <c r="E72" s="1">
        <v>64906</v>
      </c>
      <c r="F72" s="1">
        <v>2.09</v>
      </c>
      <c r="G72" s="1">
        <v>12148</v>
      </c>
      <c r="H72" s="1">
        <f>Engagement_Treated[[#This Row],[Followers_Gained]]-Engagement_Treated[[#This Row],[Unfollows]]</f>
        <v>599</v>
      </c>
    </row>
    <row r="73" spans="1:8" x14ac:dyDescent="0.3">
      <c r="A73" s="2">
        <v>45565</v>
      </c>
      <c r="B73" s="1" t="s">
        <v>10</v>
      </c>
      <c r="C73" s="1">
        <v>1918</v>
      </c>
      <c r="D73" s="1">
        <v>212</v>
      </c>
      <c r="E73" s="1">
        <v>94360</v>
      </c>
      <c r="F73" s="1">
        <v>7.36</v>
      </c>
      <c r="G73" s="1">
        <v>36851</v>
      </c>
      <c r="H73" s="1">
        <f>Engagement_Treated[[#This Row],[Followers_Gained]]-Engagement_Treated[[#This Row],[Unfollows]]</f>
        <v>1706</v>
      </c>
    </row>
    <row r="74" spans="1:8" x14ac:dyDescent="0.3">
      <c r="A74" s="2">
        <v>45572</v>
      </c>
      <c r="B74" s="1" t="s">
        <v>7</v>
      </c>
      <c r="C74" s="1">
        <v>1939</v>
      </c>
      <c r="D74" s="1">
        <v>67</v>
      </c>
      <c r="E74" s="1">
        <v>187183</v>
      </c>
      <c r="F74" s="1">
        <v>6.25</v>
      </c>
      <c r="G74" s="1">
        <v>41215</v>
      </c>
      <c r="H74" s="1">
        <f>Engagement_Treated[[#This Row],[Followers_Gained]]-Engagement_Treated[[#This Row],[Unfollows]]</f>
        <v>1872</v>
      </c>
    </row>
    <row r="75" spans="1:8" x14ac:dyDescent="0.3">
      <c r="A75" s="2">
        <v>45572</v>
      </c>
      <c r="B75" s="1" t="s">
        <v>8</v>
      </c>
      <c r="C75" s="1">
        <v>1929</v>
      </c>
      <c r="D75" s="1">
        <v>267</v>
      </c>
      <c r="E75" s="1">
        <v>379363</v>
      </c>
      <c r="F75" s="1">
        <v>1.75</v>
      </c>
      <c r="G75" s="1">
        <v>43836</v>
      </c>
      <c r="H75" s="1">
        <f>Engagement_Treated[[#This Row],[Followers_Gained]]-Engagement_Treated[[#This Row],[Unfollows]]</f>
        <v>1662</v>
      </c>
    </row>
    <row r="76" spans="1:8" x14ac:dyDescent="0.3">
      <c r="A76" s="2">
        <v>45572</v>
      </c>
      <c r="B76" s="1" t="s">
        <v>9</v>
      </c>
      <c r="C76" s="1">
        <v>437</v>
      </c>
      <c r="D76" s="1">
        <v>330</v>
      </c>
      <c r="E76" s="1">
        <v>476486</v>
      </c>
      <c r="F76" s="1">
        <v>4.97</v>
      </c>
      <c r="G76" s="1">
        <v>4509</v>
      </c>
      <c r="H76" s="1">
        <f>Engagement_Treated[[#This Row],[Followers_Gained]]-Engagement_Treated[[#This Row],[Unfollows]]</f>
        <v>107</v>
      </c>
    </row>
    <row r="77" spans="1:8" x14ac:dyDescent="0.3">
      <c r="A77" s="2">
        <v>45572</v>
      </c>
      <c r="B77" s="1" t="s">
        <v>10</v>
      </c>
      <c r="C77" s="1">
        <v>307</v>
      </c>
      <c r="D77" s="1">
        <v>189</v>
      </c>
      <c r="E77" s="1">
        <v>117767</v>
      </c>
      <c r="F77" s="1">
        <v>9.3000000000000007</v>
      </c>
      <c r="G77" s="1">
        <v>27822</v>
      </c>
      <c r="H77" s="1">
        <f>Engagement_Treated[[#This Row],[Followers_Gained]]-Engagement_Treated[[#This Row],[Unfollows]]</f>
        <v>118</v>
      </c>
    </row>
    <row r="78" spans="1:8" x14ac:dyDescent="0.3">
      <c r="A78" s="2">
        <v>45579</v>
      </c>
      <c r="B78" s="1" t="s">
        <v>7</v>
      </c>
      <c r="C78" s="1">
        <v>1527</v>
      </c>
      <c r="D78" s="1">
        <v>303</v>
      </c>
      <c r="E78" s="1">
        <v>388555</v>
      </c>
      <c r="F78" s="1">
        <v>8.9</v>
      </c>
      <c r="G78" s="1">
        <v>36397</v>
      </c>
      <c r="H78" s="1">
        <f>Engagement_Treated[[#This Row],[Followers_Gained]]-Engagement_Treated[[#This Row],[Unfollows]]</f>
        <v>1224</v>
      </c>
    </row>
    <row r="79" spans="1:8" x14ac:dyDescent="0.3">
      <c r="A79" s="2">
        <v>45579</v>
      </c>
      <c r="B79" s="1" t="s">
        <v>8</v>
      </c>
      <c r="C79" s="1">
        <v>643</v>
      </c>
      <c r="D79" s="1">
        <v>358</v>
      </c>
      <c r="E79" s="1">
        <v>157599</v>
      </c>
      <c r="F79" s="1">
        <v>3.88</v>
      </c>
      <c r="G79" s="1">
        <v>7285</v>
      </c>
      <c r="H79" s="1">
        <f>Engagement_Treated[[#This Row],[Followers_Gained]]-Engagement_Treated[[#This Row],[Unfollows]]</f>
        <v>285</v>
      </c>
    </row>
    <row r="80" spans="1:8" x14ac:dyDescent="0.3">
      <c r="A80" s="2">
        <v>45579</v>
      </c>
      <c r="B80" s="1" t="s">
        <v>9</v>
      </c>
      <c r="C80" s="1">
        <v>201</v>
      </c>
      <c r="D80" s="1">
        <v>221</v>
      </c>
      <c r="E80" s="1">
        <v>309772</v>
      </c>
      <c r="F80" s="1">
        <v>5.9</v>
      </c>
      <c r="G80" s="1">
        <v>33174</v>
      </c>
      <c r="H80" s="1">
        <f>Engagement_Treated[[#This Row],[Followers_Gained]]-Engagement_Treated[[#This Row],[Unfollows]]</f>
        <v>-20</v>
      </c>
    </row>
    <row r="81" spans="1:8" x14ac:dyDescent="0.3">
      <c r="A81" s="2">
        <v>45579</v>
      </c>
      <c r="B81" s="1" t="s">
        <v>10</v>
      </c>
      <c r="C81" s="1">
        <v>414</v>
      </c>
      <c r="D81" s="1">
        <v>47</v>
      </c>
      <c r="E81" s="1">
        <v>199178</v>
      </c>
      <c r="F81" s="1">
        <v>1.53</v>
      </c>
      <c r="G81" s="1">
        <v>6742</v>
      </c>
      <c r="H81" s="1">
        <f>Engagement_Treated[[#This Row],[Followers_Gained]]-Engagement_Treated[[#This Row],[Unfollows]]</f>
        <v>367</v>
      </c>
    </row>
    <row r="82" spans="1:8" x14ac:dyDescent="0.3">
      <c r="A82" s="2">
        <v>45586</v>
      </c>
      <c r="B82" s="1" t="s">
        <v>7</v>
      </c>
      <c r="C82" s="1">
        <v>703</v>
      </c>
      <c r="D82" s="1">
        <v>441</v>
      </c>
      <c r="E82" s="1">
        <v>357089</v>
      </c>
      <c r="F82" s="1">
        <v>6.5</v>
      </c>
      <c r="G82" s="1">
        <v>32478</v>
      </c>
      <c r="H82" s="1">
        <f>Engagement_Treated[[#This Row],[Followers_Gained]]-Engagement_Treated[[#This Row],[Unfollows]]</f>
        <v>262</v>
      </c>
    </row>
    <row r="83" spans="1:8" x14ac:dyDescent="0.3">
      <c r="A83" s="2">
        <v>45586</v>
      </c>
      <c r="B83" s="1" t="s">
        <v>8</v>
      </c>
      <c r="C83" s="1">
        <v>508</v>
      </c>
      <c r="D83" s="1">
        <v>69</v>
      </c>
      <c r="E83" s="1">
        <v>23492</v>
      </c>
      <c r="F83" s="1">
        <v>3.16</v>
      </c>
      <c r="G83" s="1">
        <v>42824</v>
      </c>
      <c r="H83" s="1">
        <f>Engagement_Treated[[#This Row],[Followers_Gained]]-Engagement_Treated[[#This Row],[Unfollows]]</f>
        <v>439</v>
      </c>
    </row>
    <row r="84" spans="1:8" x14ac:dyDescent="0.3">
      <c r="A84" s="2">
        <v>45586</v>
      </c>
      <c r="B84" s="1" t="s">
        <v>9</v>
      </c>
      <c r="C84" s="1">
        <v>697</v>
      </c>
      <c r="D84" s="1">
        <v>61</v>
      </c>
      <c r="E84" s="1">
        <v>258287</v>
      </c>
      <c r="F84" s="1">
        <v>8.25</v>
      </c>
      <c r="G84" s="1">
        <v>21208</v>
      </c>
      <c r="H84" s="1">
        <f>Engagement_Treated[[#This Row],[Followers_Gained]]-Engagement_Treated[[#This Row],[Unfollows]]</f>
        <v>636</v>
      </c>
    </row>
    <row r="85" spans="1:8" x14ac:dyDescent="0.3">
      <c r="A85" s="2">
        <v>45586</v>
      </c>
      <c r="B85" s="1" t="s">
        <v>10</v>
      </c>
      <c r="C85" s="1">
        <v>1707</v>
      </c>
      <c r="D85" s="1">
        <v>223</v>
      </c>
      <c r="E85" s="1">
        <v>256910</v>
      </c>
      <c r="F85" s="1">
        <v>5.41</v>
      </c>
      <c r="G85" s="1">
        <v>44321</v>
      </c>
      <c r="H85" s="1">
        <f>Engagement_Treated[[#This Row],[Followers_Gained]]-Engagement_Treated[[#This Row],[Unfollows]]</f>
        <v>1484</v>
      </c>
    </row>
    <row r="86" spans="1:8" x14ac:dyDescent="0.3">
      <c r="A86" s="2">
        <v>45593</v>
      </c>
      <c r="B86" s="1" t="s">
        <v>7</v>
      </c>
      <c r="C86" s="1">
        <v>642</v>
      </c>
      <c r="D86" s="1">
        <v>66</v>
      </c>
      <c r="E86" s="1">
        <v>346522</v>
      </c>
      <c r="F86" s="1">
        <v>5.85</v>
      </c>
      <c r="G86" s="1">
        <v>13116</v>
      </c>
      <c r="H86" s="1">
        <f>Engagement_Treated[[#This Row],[Followers_Gained]]-Engagement_Treated[[#This Row],[Unfollows]]</f>
        <v>576</v>
      </c>
    </row>
    <row r="87" spans="1:8" x14ac:dyDescent="0.3">
      <c r="A87" s="2">
        <v>45593</v>
      </c>
      <c r="B87" s="1" t="s">
        <v>8</v>
      </c>
      <c r="C87" s="1">
        <v>859</v>
      </c>
      <c r="D87" s="1">
        <v>473</v>
      </c>
      <c r="E87" s="1">
        <v>209987</v>
      </c>
      <c r="F87" s="1">
        <v>4.46</v>
      </c>
      <c r="G87" s="1">
        <v>30214</v>
      </c>
      <c r="H87" s="1">
        <f>Engagement_Treated[[#This Row],[Followers_Gained]]-Engagement_Treated[[#This Row],[Unfollows]]</f>
        <v>386</v>
      </c>
    </row>
    <row r="88" spans="1:8" x14ac:dyDescent="0.3">
      <c r="A88" s="2">
        <v>45593</v>
      </c>
      <c r="B88" s="1" t="s">
        <v>9</v>
      </c>
      <c r="C88" s="1">
        <v>191</v>
      </c>
      <c r="D88" s="1">
        <v>154</v>
      </c>
      <c r="E88" s="1">
        <v>240550</v>
      </c>
      <c r="F88" s="1">
        <v>5.22</v>
      </c>
      <c r="G88" s="1">
        <v>15827</v>
      </c>
      <c r="H88" s="1">
        <f>Engagement_Treated[[#This Row],[Followers_Gained]]-Engagement_Treated[[#This Row],[Unfollows]]</f>
        <v>37</v>
      </c>
    </row>
    <row r="89" spans="1:8" x14ac:dyDescent="0.3">
      <c r="A89" s="2">
        <v>45593</v>
      </c>
      <c r="B89" s="1" t="s">
        <v>10</v>
      </c>
      <c r="C89" s="1">
        <v>1814</v>
      </c>
      <c r="D89" s="1">
        <v>157</v>
      </c>
      <c r="E89" s="1">
        <v>305827</v>
      </c>
      <c r="F89" s="1">
        <v>1.99</v>
      </c>
      <c r="G89" s="1">
        <v>46643</v>
      </c>
      <c r="H89" s="1">
        <f>Engagement_Treated[[#This Row],[Followers_Gained]]-Engagement_Treated[[#This Row],[Unfollows]]</f>
        <v>1657</v>
      </c>
    </row>
    <row r="90" spans="1:8" x14ac:dyDescent="0.3">
      <c r="A90" s="2">
        <v>45600</v>
      </c>
      <c r="B90" s="1" t="s">
        <v>7</v>
      </c>
      <c r="C90" s="1">
        <v>1466</v>
      </c>
      <c r="D90" s="1">
        <v>69</v>
      </c>
      <c r="E90" s="1">
        <v>54935</v>
      </c>
      <c r="F90" s="1">
        <v>6.85</v>
      </c>
      <c r="G90" s="1">
        <v>36484</v>
      </c>
      <c r="H90" s="1">
        <f>Engagement_Treated[[#This Row],[Followers_Gained]]-Engagement_Treated[[#This Row],[Unfollows]]</f>
        <v>1397</v>
      </c>
    </row>
    <row r="91" spans="1:8" x14ac:dyDescent="0.3">
      <c r="A91" s="2">
        <v>45600</v>
      </c>
      <c r="B91" s="1" t="s">
        <v>8</v>
      </c>
      <c r="C91" s="1">
        <v>947</v>
      </c>
      <c r="D91" s="1">
        <v>407</v>
      </c>
      <c r="E91" s="1">
        <v>319186</v>
      </c>
      <c r="F91" s="1">
        <v>3.32</v>
      </c>
      <c r="G91" s="1">
        <v>4996</v>
      </c>
      <c r="H91" s="1">
        <f>Engagement_Treated[[#This Row],[Followers_Gained]]-Engagement_Treated[[#This Row],[Unfollows]]</f>
        <v>540</v>
      </c>
    </row>
    <row r="92" spans="1:8" x14ac:dyDescent="0.3">
      <c r="A92" s="2">
        <v>45600</v>
      </c>
      <c r="B92" s="1" t="s">
        <v>9</v>
      </c>
      <c r="C92" s="1">
        <v>1821</v>
      </c>
      <c r="D92" s="1">
        <v>218</v>
      </c>
      <c r="E92" s="1">
        <v>439080</v>
      </c>
      <c r="F92" s="1">
        <v>5.68</v>
      </c>
      <c r="G92" s="1">
        <v>36095</v>
      </c>
      <c r="H92" s="1">
        <f>Engagement_Treated[[#This Row],[Followers_Gained]]-Engagement_Treated[[#This Row],[Unfollows]]</f>
        <v>1603</v>
      </c>
    </row>
    <row r="93" spans="1:8" x14ac:dyDescent="0.3">
      <c r="A93" s="2">
        <v>45600</v>
      </c>
      <c r="B93" s="1" t="s">
        <v>10</v>
      </c>
      <c r="C93" s="1">
        <v>1507</v>
      </c>
      <c r="D93" s="1">
        <v>463</v>
      </c>
      <c r="E93" s="1">
        <v>258944</v>
      </c>
      <c r="F93" s="1">
        <v>6.08</v>
      </c>
      <c r="G93" s="1">
        <v>16443</v>
      </c>
      <c r="H93" s="1">
        <f>Engagement_Treated[[#This Row],[Followers_Gained]]-Engagement_Treated[[#This Row],[Unfollows]]</f>
        <v>1044</v>
      </c>
    </row>
    <row r="94" spans="1:8" x14ac:dyDescent="0.3">
      <c r="A94" s="2">
        <v>45607</v>
      </c>
      <c r="B94" s="1" t="s">
        <v>7</v>
      </c>
      <c r="C94" s="1">
        <v>1075</v>
      </c>
      <c r="D94" s="1">
        <v>173</v>
      </c>
      <c r="E94" s="1">
        <v>51395</v>
      </c>
      <c r="F94" s="1">
        <v>4.66</v>
      </c>
      <c r="G94" s="1">
        <v>47812</v>
      </c>
      <c r="H94" s="1">
        <f>Engagement_Treated[[#This Row],[Followers_Gained]]-Engagement_Treated[[#This Row],[Unfollows]]</f>
        <v>902</v>
      </c>
    </row>
    <row r="95" spans="1:8" x14ac:dyDescent="0.3">
      <c r="A95" s="2">
        <v>45607</v>
      </c>
      <c r="B95" s="1" t="s">
        <v>8</v>
      </c>
      <c r="C95" s="1">
        <v>171</v>
      </c>
      <c r="D95" s="1">
        <v>277</v>
      </c>
      <c r="E95" s="1">
        <v>309483</v>
      </c>
      <c r="F95" s="1">
        <v>8.6999999999999993</v>
      </c>
      <c r="G95" s="1">
        <v>38452</v>
      </c>
      <c r="H95" s="1">
        <f>Engagement_Treated[[#This Row],[Followers_Gained]]-Engagement_Treated[[#This Row],[Unfollows]]</f>
        <v>-106</v>
      </c>
    </row>
    <row r="96" spans="1:8" x14ac:dyDescent="0.3">
      <c r="A96" s="2">
        <v>45607</v>
      </c>
      <c r="B96" s="1" t="s">
        <v>9</v>
      </c>
      <c r="C96" s="1">
        <v>1487</v>
      </c>
      <c r="D96" s="1">
        <v>337</v>
      </c>
      <c r="E96" s="1">
        <v>87305</v>
      </c>
      <c r="F96" s="1">
        <v>2.46</v>
      </c>
      <c r="G96" s="1">
        <v>30428</v>
      </c>
      <c r="H96" s="1">
        <f>Engagement_Treated[[#This Row],[Followers_Gained]]-Engagement_Treated[[#This Row],[Unfollows]]</f>
        <v>1150</v>
      </c>
    </row>
    <row r="97" spans="1:8" x14ac:dyDescent="0.3">
      <c r="A97" s="2">
        <v>45607</v>
      </c>
      <c r="B97" s="1" t="s">
        <v>10</v>
      </c>
      <c r="C97" s="1">
        <v>454</v>
      </c>
      <c r="D97" s="1">
        <v>105</v>
      </c>
      <c r="E97" s="1">
        <v>121091</v>
      </c>
      <c r="F97" s="1">
        <v>7.97</v>
      </c>
      <c r="G97" s="1">
        <v>9269</v>
      </c>
      <c r="H97" s="1">
        <f>Engagement_Treated[[#This Row],[Followers_Gained]]-Engagement_Treated[[#This Row],[Unfollows]]</f>
        <v>349</v>
      </c>
    </row>
    <row r="98" spans="1:8" x14ac:dyDescent="0.3">
      <c r="A98" s="2">
        <v>45614</v>
      </c>
      <c r="B98" s="1" t="s">
        <v>7</v>
      </c>
      <c r="C98" s="1">
        <v>187</v>
      </c>
      <c r="D98" s="1">
        <v>236</v>
      </c>
      <c r="E98" s="1">
        <v>51087</v>
      </c>
      <c r="F98" s="1">
        <v>9.41</v>
      </c>
      <c r="G98" s="1">
        <v>29533</v>
      </c>
      <c r="H98" s="1">
        <f>Engagement_Treated[[#This Row],[Followers_Gained]]-Engagement_Treated[[#This Row],[Unfollows]]</f>
        <v>-49</v>
      </c>
    </row>
    <row r="99" spans="1:8" x14ac:dyDescent="0.3">
      <c r="A99" s="2">
        <v>45614</v>
      </c>
      <c r="B99" s="1" t="s">
        <v>8</v>
      </c>
      <c r="C99" s="1">
        <v>513</v>
      </c>
      <c r="D99" s="1">
        <v>441</v>
      </c>
      <c r="E99" s="1">
        <v>338847</v>
      </c>
      <c r="F99" s="1">
        <v>2.68</v>
      </c>
      <c r="G99" s="1">
        <v>39997</v>
      </c>
      <c r="H99" s="1">
        <f>Engagement_Treated[[#This Row],[Followers_Gained]]-Engagement_Treated[[#This Row],[Unfollows]]</f>
        <v>72</v>
      </c>
    </row>
    <row r="100" spans="1:8" x14ac:dyDescent="0.3">
      <c r="A100" s="2">
        <v>45614</v>
      </c>
      <c r="B100" s="1" t="s">
        <v>9</v>
      </c>
      <c r="C100" s="1">
        <v>628</v>
      </c>
      <c r="D100" s="1">
        <v>183</v>
      </c>
      <c r="E100" s="1">
        <v>487523</v>
      </c>
      <c r="F100" s="1">
        <v>7.32</v>
      </c>
      <c r="G100" s="1">
        <v>5391</v>
      </c>
      <c r="H100" s="1">
        <f>Engagement_Treated[[#This Row],[Followers_Gained]]-Engagement_Treated[[#This Row],[Unfollows]]</f>
        <v>445</v>
      </c>
    </row>
    <row r="101" spans="1:8" x14ac:dyDescent="0.3">
      <c r="A101" s="2">
        <v>45614</v>
      </c>
      <c r="B101" s="1" t="s">
        <v>10</v>
      </c>
      <c r="C101" s="1">
        <v>278</v>
      </c>
      <c r="D101" s="1">
        <v>218</v>
      </c>
      <c r="E101" s="1">
        <v>301695</v>
      </c>
      <c r="F101" s="1">
        <v>4.68</v>
      </c>
      <c r="G101" s="1">
        <v>22373</v>
      </c>
      <c r="H101" s="1">
        <f>Engagement_Treated[[#This Row],[Followers_Gained]]-Engagement_Treated[[#This Row],[Unfollows]]</f>
        <v>60</v>
      </c>
    </row>
    <row r="102" spans="1:8" x14ac:dyDescent="0.3">
      <c r="A102" s="2">
        <v>45621</v>
      </c>
      <c r="B102" s="1" t="s">
        <v>7</v>
      </c>
      <c r="C102" s="1">
        <v>1854</v>
      </c>
      <c r="D102" s="1">
        <v>161</v>
      </c>
      <c r="E102" s="1">
        <v>282466</v>
      </c>
      <c r="F102" s="1">
        <v>5.17</v>
      </c>
      <c r="G102" s="1">
        <v>1810</v>
      </c>
      <c r="H102" s="1">
        <f>Engagement_Treated[[#This Row],[Followers_Gained]]-Engagement_Treated[[#This Row],[Unfollows]]</f>
        <v>1693</v>
      </c>
    </row>
    <row r="103" spans="1:8" x14ac:dyDescent="0.3">
      <c r="A103" s="2">
        <v>45621</v>
      </c>
      <c r="B103" s="1" t="s">
        <v>8</v>
      </c>
      <c r="C103" s="1">
        <v>1710</v>
      </c>
      <c r="D103" s="1">
        <v>378</v>
      </c>
      <c r="E103" s="1">
        <v>336661</v>
      </c>
      <c r="F103" s="1">
        <v>6.2</v>
      </c>
      <c r="G103" s="1">
        <v>28498</v>
      </c>
      <c r="H103" s="1">
        <f>Engagement_Treated[[#This Row],[Followers_Gained]]-Engagement_Treated[[#This Row],[Unfollows]]</f>
        <v>1332</v>
      </c>
    </row>
    <row r="104" spans="1:8" x14ac:dyDescent="0.3">
      <c r="A104" s="2">
        <v>45621</v>
      </c>
      <c r="B104" s="1" t="s">
        <v>9</v>
      </c>
      <c r="C104" s="1">
        <v>330</v>
      </c>
      <c r="D104" s="1">
        <v>232</v>
      </c>
      <c r="E104" s="1">
        <v>88455</v>
      </c>
      <c r="F104" s="1">
        <v>2.69</v>
      </c>
      <c r="G104" s="1">
        <v>39530</v>
      </c>
      <c r="H104" s="1">
        <f>Engagement_Treated[[#This Row],[Followers_Gained]]-Engagement_Treated[[#This Row],[Unfollows]]</f>
        <v>98</v>
      </c>
    </row>
    <row r="105" spans="1:8" x14ac:dyDescent="0.3">
      <c r="A105" s="2">
        <v>45621</v>
      </c>
      <c r="B105" s="1" t="s">
        <v>10</v>
      </c>
      <c r="C105" s="1">
        <v>1293</v>
      </c>
      <c r="D105" s="1">
        <v>408</v>
      </c>
      <c r="E105" s="1">
        <v>62535</v>
      </c>
      <c r="F105" s="1">
        <v>8.9</v>
      </c>
      <c r="G105" s="1">
        <v>37876</v>
      </c>
      <c r="H105" s="1">
        <f>Engagement_Treated[[#This Row],[Followers_Gained]]-Engagement_Treated[[#This Row],[Unfollows]]</f>
        <v>885</v>
      </c>
    </row>
    <row r="106" spans="1:8" x14ac:dyDescent="0.3">
      <c r="A106" s="2">
        <v>45628</v>
      </c>
      <c r="B106" s="1" t="s">
        <v>7</v>
      </c>
      <c r="C106" s="1">
        <v>1696</v>
      </c>
      <c r="D106" s="1">
        <v>71</v>
      </c>
      <c r="E106" s="1">
        <v>421957</v>
      </c>
      <c r="F106" s="1">
        <v>3.79</v>
      </c>
      <c r="G106" s="1">
        <v>36103</v>
      </c>
      <c r="H106" s="1">
        <f>Engagement_Treated[[#This Row],[Followers_Gained]]-Engagement_Treated[[#This Row],[Unfollows]]</f>
        <v>1625</v>
      </c>
    </row>
    <row r="107" spans="1:8" x14ac:dyDescent="0.3">
      <c r="A107" s="2">
        <v>45628</v>
      </c>
      <c r="B107" s="1" t="s">
        <v>8</v>
      </c>
      <c r="C107" s="1">
        <v>1902</v>
      </c>
      <c r="D107" s="1">
        <v>196</v>
      </c>
      <c r="E107" s="1">
        <v>470269</v>
      </c>
      <c r="F107" s="1">
        <v>4.79</v>
      </c>
      <c r="G107" s="1">
        <v>26103</v>
      </c>
      <c r="H107" s="1">
        <f>Engagement_Treated[[#This Row],[Followers_Gained]]-Engagement_Treated[[#This Row],[Unfollows]]</f>
        <v>1706</v>
      </c>
    </row>
    <row r="108" spans="1:8" x14ac:dyDescent="0.3">
      <c r="A108" s="2">
        <v>45628</v>
      </c>
      <c r="B108" s="1" t="s">
        <v>9</v>
      </c>
      <c r="C108" s="1">
        <v>1441</v>
      </c>
      <c r="D108" s="1">
        <v>268</v>
      </c>
      <c r="E108" s="1">
        <v>309904</v>
      </c>
      <c r="F108" s="1">
        <v>6.37</v>
      </c>
      <c r="G108" s="1">
        <v>3455</v>
      </c>
      <c r="H108" s="1">
        <f>Engagement_Treated[[#This Row],[Followers_Gained]]-Engagement_Treated[[#This Row],[Unfollows]]</f>
        <v>1173</v>
      </c>
    </row>
    <row r="109" spans="1:8" x14ac:dyDescent="0.3">
      <c r="A109" s="2">
        <v>45628</v>
      </c>
      <c r="B109" s="1" t="s">
        <v>10</v>
      </c>
      <c r="C109" s="1">
        <v>452</v>
      </c>
      <c r="D109" s="1">
        <v>161</v>
      </c>
      <c r="E109" s="1">
        <v>221274</v>
      </c>
      <c r="F109" s="1">
        <v>2.65</v>
      </c>
      <c r="G109" s="1">
        <v>40888</v>
      </c>
      <c r="H109" s="1">
        <f>Engagement_Treated[[#This Row],[Followers_Gained]]-Engagement_Treated[[#This Row],[Unfollows]]</f>
        <v>291</v>
      </c>
    </row>
    <row r="110" spans="1:8" x14ac:dyDescent="0.3">
      <c r="A110" s="2">
        <v>45635</v>
      </c>
      <c r="B110" s="1" t="s">
        <v>7</v>
      </c>
      <c r="C110" s="1">
        <v>1494</v>
      </c>
      <c r="D110" s="1">
        <v>375</v>
      </c>
      <c r="E110" s="1">
        <v>220616</v>
      </c>
      <c r="F110" s="1">
        <v>1.81</v>
      </c>
      <c r="G110" s="1">
        <v>22724</v>
      </c>
      <c r="H110" s="1">
        <f>Engagement_Treated[[#This Row],[Followers_Gained]]-Engagement_Treated[[#This Row],[Unfollows]]</f>
        <v>1119</v>
      </c>
    </row>
    <row r="111" spans="1:8" x14ac:dyDescent="0.3">
      <c r="A111" s="2">
        <v>45635</v>
      </c>
      <c r="B111" s="1" t="s">
        <v>8</v>
      </c>
      <c r="C111" s="1">
        <v>1514</v>
      </c>
      <c r="D111" s="1">
        <v>141</v>
      </c>
      <c r="E111" s="1">
        <v>35842</v>
      </c>
      <c r="F111" s="1">
        <v>7.47</v>
      </c>
      <c r="G111" s="1">
        <v>18601</v>
      </c>
      <c r="H111" s="1">
        <f>Engagement_Treated[[#This Row],[Followers_Gained]]-Engagement_Treated[[#This Row],[Unfollows]]</f>
        <v>1373</v>
      </c>
    </row>
    <row r="112" spans="1:8" x14ac:dyDescent="0.3">
      <c r="A112" s="2">
        <v>45635</v>
      </c>
      <c r="B112" s="1" t="s">
        <v>9</v>
      </c>
      <c r="C112" s="1">
        <v>1937</v>
      </c>
      <c r="D112" s="1">
        <v>210</v>
      </c>
      <c r="E112" s="1">
        <v>20607</v>
      </c>
      <c r="F112" s="1">
        <v>4.2</v>
      </c>
      <c r="G112" s="1">
        <v>20861</v>
      </c>
      <c r="H112" s="1">
        <f>Engagement_Treated[[#This Row],[Followers_Gained]]-Engagement_Treated[[#This Row],[Unfollows]]</f>
        <v>1727</v>
      </c>
    </row>
    <row r="113" spans="1:8" x14ac:dyDescent="0.3">
      <c r="A113" s="2">
        <v>45635</v>
      </c>
      <c r="B113" s="1" t="s">
        <v>10</v>
      </c>
      <c r="C113" s="1">
        <v>736</v>
      </c>
      <c r="D113" s="1">
        <v>163</v>
      </c>
      <c r="E113" s="1">
        <v>451894</v>
      </c>
      <c r="F113" s="1">
        <v>5.43</v>
      </c>
      <c r="G113" s="1">
        <v>46625</v>
      </c>
      <c r="H113" s="1">
        <f>Engagement_Treated[[#This Row],[Followers_Gained]]-Engagement_Treated[[#This Row],[Unfollows]]</f>
        <v>573</v>
      </c>
    </row>
    <row r="114" spans="1:8" x14ac:dyDescent="0.3">
      <c r="A114" s="2">
        <v>45642</v>
      </c>
      <c r="B114" s="1" t="s">
        <v>7</v>
      </c>
      <c r="C114" s="1">
        <v>1502</v>
      </c>
      <c r="D114" s="1">
        <v>70</v>
      </c>
      <c r="E114" s="1">
        <v>465553</v>
      </c>
      <c r="F114" s="1">
        <v>3.32</v>
      </c>
      <c r="G114" s="1">
        <v>20692</v>
      </c>
      <c r="H114" s="1">
        <f>Engagement_Treated[[#This Row],[Followers_Gained]]-Engagement_Treated[[#This Row],[Unfollows]]</f>
        <v>1432</v>
      </c>
    </row>
    <row r="115" spans="1:8" x14ac:dyDescent="0.3">
      <c r="A115" s="2">
        <v>45642</v>
      </c>
      <c r="B115" s="1" t="s">
        <v>8</v>
      </c>
      <c r="C115" s="1">
        <v>1623</v>
      </c>
      <c r="D115" s="1">
        <v>246</v>
      </c>
      <c r="E115" s="1">
        <v>415815</v>
      </c>
      <c r="F115" s="1">
        <v>8.11</v>
      </c>
      <c r="G115" s="1">
        <v>18656</v>
      </c>
      <c r="H115" s="1">
        <f>Engagement_Treated[[#This Row],[Followers_Gained]]-Engagement_Treated[[#This Row],[Unfollows]]</f>
        <v>1377</v>
      </c>
    </row>
    <row r="116" spans="1:8" x14ac:dyDescent="0.3">
      <c r="A116" s="2">
        <v>45642</v>
      </c>
      <c r="B116" s="1" t="s">
        <v>9</v>
      </c>
      <c r="C116" s="1">
        <v>1592</v>
      </c>
      <c r="D116" s="1">
        <v>233</v>
      </c>
      <c r="E116" s="1">
        <v>327183</v>
      </c>
      <c r="F116" s="1">
        <v>6.66</v>
      </c>
      <c r="G116" s="1">
        <v>13316</v>
      </c>
      <c r="H116" s="1">
        <f>Engagement_Treated[[#This Row],[Followers_Gained]]-Engagement_Treated[[#This Row],[Unfollows]]</f>
        <v>1359</v>
      </c>
    </row>
    <row r="117" spans="1:8" x14ac:dyDescent="0.3">
      <c r="A117" s="2">
        <v>45642</v>
      </c>
      <c r="B117" s="1" t="s">
        <v>10</v>
      </c>
      <c r="C117" s="1">
        <v>1004</v>
      </c>
      <c r="D117" s="1">
        <v>128</v>
      </c>
      <c r="E117" s="1">
        <v>488901</v>
      </c>
      <c r="F117" s="1">
        <v>8.09</v>
      </c>
      <c r="G117" s="1">
        <v>49558</v>
      </c>
      <c r="H117" s="1">
        <f>Engagement_Treated[[#This Row],[Followers_Gained]]-Engagement_Treated[[#This Row],[Unfollows]]</f>
        <v>876</v>
      </c>
    </row>
    <row r="118" spans="1:8" x14ac:dyDescent="0.3">
      <c r="A118" s="2">
        <v>45649</v>
      </c>
      <c r="B118" s="1" t="s">
        <v>7</v>
      </c>
      <c r="C118" s="1">
        <v>1092</v>
      </c>
      <c r="D118" s="1">
        <v>408</v>
      </c>
      <c r="E118" s="1">
        <v>280795</v>
      </c>
      <c r="F118" s="1">
        <v>8.44</v>
      </c>
      <c r="G118" s="1">
        <v>4683</v>
      </c>
      <c r="H118" s="1">
        <f>Engagement_Treated[[#This Row],[Followers_Gained]]-Engagement_Treated[[#This Row],[Unfollows]]</f>
        <v>684</v>
      </c>
    </row>
    <row r="119" spans="1:8" x14ac:dyDescent="0.3">
      <c r="A119" s="2">
        <v>45649</v>
      </c>
      <c r="B119" s="1" t="s">
        <v>8</v>
      </c>
      <c r="C119" s="1">
        <v>1155</v>
      </c>
      <c r="D119" s="1">
        <v>425</v>
      </c>
      <c r="E119" s="1">
        <v>93347</v>
      </c>
      <c r="F119" s="1">
        <v>2.02</v>
      </c>
      <c r="G119" s="1">
        <v>47502</v>
      </c>
      <c r="H119" s="1">
        <f>Engagement_Treated[[#This Row],[Followers_Gained]]-Engagement_Treated[[#This Row],[Unfollows]]</f>
        <v>730</v>
      </c>
    </row>
    <row r="120" spans="1:8" x14ac:dyDescent="0.3">
      <c r="A120" s="2">
        <v>45649</v>
      </c>
      <c r="B120" s="1" t="s">
        <v>9</v>
      </c>
      <c r="C120" s="1">
        <v>1137</v>
      </c>
      <c r="D120" s="1">
        <v>226</v>
      </c>
      <c r="E120" s="1">
        <v>81119</v>
      </c>
      <c r="F120" s="1">
        <v>7.74</v>
      </c>
      <c r="G120" s="1">
        <v>35359</v>
      </c>
      <c r="H120" s="1">
        <f>Engagement_Treated[[#This Row],[Followers_Gained]]-Engagement_Treated[[#This Row],[Unfollows]]</f>
        <v>911</v>
      </c>
    </row>
    <row r="121" spans="1:8" x14ac:dyDescent="0.3">
      <c r="A121" s="2">
        <v>45649</v>
      </c>
      <c r="B121" s="1" t="s">
        <v>10</v>
      </c>
      <c r="C121" s="1">
        <v>1900</v>
      </c>
      <c r="D121" s="1">
        <v>311</v>
      </c>
      <c r="E121" s="1">
        <v>25177</v>
      </c>
      <c r="F121" s="1">
        <v>2.89</v>
      </c>
      <c r="G121" s="1">
        <v>14154</v>
      </c>
      <c r="H121" s="1">
        <f>Engagement_Treated[[#This Row],[Followers_Gained]]-Engagement_Treated[[#This Row],[Unfollows]]</f>
        <v>1589</v>
      </c>
    </row>
    <row r="122" spans="1:8" x14ac:dyDescent="0.3">
      <c r="A122" s="2">
        <v>45656</v>
      </c>
      <c r="B122" s="1" t="s">
        <v>7</v>
      </c>
      <c r="C122" s="1">
        <v>1814</v>
      </c>
      <c r="D122" s="1">
        <v>49</v>
      </c>
      <c r="E122" s="1">
        <v>140804</v>
      </c>
      <c r="F122" s="1">
        <v>1.76</v>
      </c>
      <c r="G122" s="1">
        <v>4313</v>
      </c>
      <c r="H122" s="1">
        <f>Engagement_Treated[[#This Row],[Followers_Gained]]-Engagement_Treated[[#This Row],[Unfollows]]</f>
        <v>1765</v>
      </c>
    </row>
    <row r="123" spans="1:8" x14ac:dyDescent="0.3">
      <c r="A123" s="2">
        <v>45656</v>
      </c>
      <c r="B123" s="1" t="s">
        <v>8</v>
      </c>
      <c r="C123" s="1">
        <v>1980</v>
      </c>
      <c r="D123" s="1">
        <v>204</v>
      </c>
      <c r="E123" s="1">
        <v>379431</v>
      </c>
      <c r="F123" s="1">
        <v>3.09</v>
      </c>
      <c r="G123" s="1">
        <v>25140</v>
      </c>
      <c r="H123" s="1">
        <f>Engagement_Treated[[#This Row],[Followers_Gained]]-Engagement_Treated[[#This Row],[Unfollows]]</f>
        <v>1776</v>
      </c>
    </row>
    <row r="124" spans="1:8" x14ac:dyDescent="0.3">
      <c r="A124" s="2">
        <v>45656</v>
      </c>
      <c r="B124" s="1" t="s">
        <v>9</v>
      </c>
      <c r="C124" s="1">
        <v>1786</v>
      </c>
      <c r="D124" s="1">
        <v>257</v>
      </c>
      <c r="E124" s="1">
        <v>274831</v>
      </c>
      <c r="F124" s="1">
        <v>4.68</v>
      </c>
      <c r="G124" s="1">
        <v>9118</v>
      </c>
      <c r="H124" s="1">
        <f>Engagement_Treated[[#This Row],[Followers_Gained]]-Engagement_Treated[[#This Row],[Unfollows]]</f>
        <v>1529</v>
      </c>
    </row>
    <row r="125" spans="1:8" x14ac:dyDescent="0.3">
      <c r="A125" s="2">
        <v>45656</v>
      </c>
      <c r="B125" s="1" t="s">
        <v>10</v>
      </c>
      <c r="C125" s="1">
        <v>1495</v>
      </c>
      <c r="D125" s="1">
        <v>35</v>
      </c>
      <c r="E125" s="1">
        <v>136845</v>
      </c>
      <c r="F125" s="1">
        <v>4.4800000000000004</v>
      </c>
      <c r="G125" s="1">
        <v>39931</v>
      </c>
      <c r="H125" s="1">
        <f>Engagement_Treated[[#This Row],[Followers_Gained]]-Engagement_Treated[[#This Row],[Unfollows]]</f>
        <v>1460</v>
      </c>
    </row>
    <row r="126" spans="1:8" x14ac:dyDescent="0.3">
      <c r="A126" s="2">
        <v>45663</v>
      </c>
      <c r="B126" s="1" t="s">
        <v>7</v>
      </c>
      <c r="C126" s="1">
        <v>1013</v>
      </c>
      <c r="D126" s="1">
        <v>110</v>
      </c>
      <c r="E126" s="1">
        <v>466382</v>
      </c>
      <c r="F126" s="1">
        <v>5.3</v>
      </c>
      <c r="G126" s="1">
        <v>37132</v>
      </c>
      <c r="H126" s="1">
        <f>Engagement_Treated[[#This Row],[Followers_Gained]]-Engagement_Treated[[#This Row],[Unfollows]]</f>
        <v>903</v>
      </c>
    </row>
    <row r="127" spans="1:8" x14ac:dyDescent="0.3">
      <c r="A127" s="2">
        <v>45663</v>
      </c>
      <c r="B127" s="1" t="s">
        <v>8</v>
      </c>
      <c r="C127" s="1">
        <v>816</v>
      </c>
      <c r="D127" s="1">
        <v>196</v>
      </c>
      <c r="E127" s="1">
        <v>95728</v>
      </c>
      <c r="F127" s="1">
        <v>8.1999999999999993</v>
      </c>
      <c r="G127" s="1">
        <v>17951</v>
      </c>
      <c r="H127" s="1">
        <f>Engagement_Treated[[#This Row],[Followers_Gained]]-Engagement_Treated[[#This Row],[Unfollows]]</f>
        <v>620</v>
      </c>
    </row>
    <row r="128" spans="1:8" x14ac:dyDescent="0.3">
      <c r="A128" s="2">
        <v>45663</v>
      </c>
      <c r="B128" s="1" t="s">
        <v>9</v>
      </c>
      <c r="C128" s="1">
        <v>1633</v>
      </c>
      <c r="D128" s="1">
        <v>445</v>
      </c>
      <c r="E128" s="1">
        <v>371156</v>
      </c>
      <c r="F128" s="1">
        <v>2.2200000000000002</v>
      </c>
      <c r="G128" s="1">
        <v>2798</v>
      </c>
      <c r="H128" s="1">
        <f>Engagement_Treated[[#This Row],[Followers_Gained]]-Engagement_Treated[[#This Row],[Unfollows]]</f>
        <v>1188</v>
      </c>
    </row>
    <row r="129" spans="1:8" x14ac:dyDescent="0.3">
      <c r="A129" s="2">
        <v>45663</v>
      </c>
      <c r="B129" s="1" t="s">
        <v>10</v>
      </c>
      <c r="C129" s="1">
        <v>891</v>
      </c>
      <c r="D129" s="1">
        <v>45</v>
      </c>
      <c r="E129" s="1">
        <v>95410</v>
      </c>
      <c r="F129" s="1">
        <v>8.33</v>
      </c>
      <c r="G129" s="1">
        <v>15045</v>
      </c>
      <c r="H129" s="1">
        <f>Engagement_Treated[[#This Row],[Followers_Gained]]-Engagement_Treated[[#This Row],[Unfollows]]</f>
        <v>846</v>
      </c>
    </row>
    <row r="130" spans="1:8" x14ac:dyDescent="0.3">
      <c r="A130" s="2">
        <v>45670</v>
      </c>
      <c r="B130" s="1" t="s">
        <v>7</v>
      </c>
      <c r="C130" s="1">
        <v>1855</v>
      </c>
      <c r="D130" s="1">
        <v>133</v>
      </c>
      <c r="E130" s="1">
        <v>349413</v>
      </c>
      <c r="F130" s="1">
        <v>3.3</v>
      </c>
      <c r="G130" s="1">
        <v>14548</v>
      </c>
      <c r="H130" s="1">
        <f>Engagement_Treated[[#This Row],[Followers_Gained]]-Engagement_Treated[[#This Row],[Unfollows]]</f>
        <v>1722</v>
      </c>
    </row>
    <row r="131" spans="1:8" x14ac:dyDescent="0.3">
      <c r="A131" s="2">
        <v>45670</v>
      </c>
      <c r="B131" s="1" t="s">
        <v>8</v>
      </c>
      <c r="C131" s="1">
        <v>651</v>
      </c>
      <c r="D131" s="1">
        <v>353</v>
      </c>
      <c r="E131" s="1">
        <v>224699</v>
      </c>
      <c r="F131" s="1">
        <v>5.61</v>
      </c>
      <c r="G131" s="1">
        <v>45708</v>
      </c>
      <c r="H131" s="1">
        <f>Engagement_Treated[[#This Row],[Followers_Gained]]-Engagement_Treated[[#This Row],[Unfollows]]</f>
        <v>298</v>
      </c>
    </row>
    <row r="132" spans="1:8" x14ac:dyDescent="0.3">
      <c r="A132" s="2">
        <v>45670</v>
      </c>
      <c r="B132" s="1" t="s">
        <v>9</v>
      </c>
      <c r="C132" s="1">
        <v>118</v>
      </c>
      <c r="D132" s="1">
        <v>262</v>
      </c>
      <c r="E132" s="1">
        <v>487896</v>
      </c>
      <c r="F132" s="1">
        <v>2.56</v>
      </c>
      <c r="G132" s="1">
        <v>12350</v>
      </c>
      <c r="H132" s="1">
        <f>Engagement_Treated[[#This Row],[Followers_Gained]]-Engagement_Treated[[#This Row],[Unfollows]]</f>
        <v>-144</v>
      </c>
    </row>
    <row r="133" spans="1:8" x14ac:dyDescent="0.3">
      <c r="A133" s="2">
        <v>45670</v>
      </c>
      <c r="B133" s="1" t="s">
        <v>10</v>
      </c>
      <c r="C133" s="1">
        <v>1331</v>
      </c>
      <c r="D133" s="1">
        <v>430</v>
      </c>
      <c r="E133" s="1">
        <v>14437</v>
      </c>
      <c r="F133" s="1">
        <v>3.29</v>
      </c>
      <c r="G133" s="1">
        <v>40868</v>
      </c>
      <c r="H133" s="1">
        <f>Engagement_Treated[[#This Row],[Followers_Gained]]-Engagement_Treated[[#This Row],[Unfollows]]</f>
        <v>901</v>
      </c>
    </row>
    <row r="134" spans="1:8" x14ac:dyDescent="0.3">
      <c r="A134" s="2">
        <v>45677</v>
      </c>
      <c r="B134" s="1" t="s">
        <v>7</v>
      </c>
      <c r="C134" s="1">
        <v>1748</v>
      </c>
      <c r="D134" s="1">
        <v>176</v>
      </c>
      <c r="E134" s="1">
        <v>383681</v>
      </c>
      <c r="F134" s="1">
        <v>9.24</v>
      </c>
      <c r="G134" s="1">
        <v>43122</v>
      </c>
      <c r="H134" s="1">
        <f>Engagement_Treated[[#This Row],[Followers_Gained]]-Engagement_Treated[[#This Row],[Unfollows]]</f>
        <v>1572</v>
      </c>
    </row>
    <row r="135" spans="1:8" x14ac:dyDescent="0.3">
      <c r="A135" s="2">
        <v>45677</v>
      </c>
      <c r="B135" s="1" t="s">
        <v>8</v>
      </c>
      <c r="C135" s="1">
        <v>663</v>
      </c>
      <c r="D135" s="1">
        <v>236</v>
      </c>
      <c r="E135" s="1">
        <v>479490</v>
      </c>
      <c r="F135" s="1">
        <v>4.51</v>
      </c>
      <c r="G135" s="1">
        <v>23853</v>
      </c>
      <c r="H135" s="1">
        <f>Engagement_Treated[[#This Row],[Followers_Gained]]-Engagement_Treated[[#This Row],[Unfollows]]</f>
        <v>427</v>
      </c>
    </row>
    <row r="136" spans="1:8" x14ac:dyDescent="0.3">
      <c r="A136" s="2">
        <v>45677</v>
      </c>
      <c r="B136" s="1" t="s">
        <v>9</v>
      </c>
      <c r="C136" s="1">
        <v>1040</v>
      </c>
      <c r="D136" s="1">
        <v>149</v>
      </c>
      <c r="E136" s="1">
        <v>124404</v>
      </c>
      <c r="F136" s="1">
        <v>5.23</v>
      </c>
      <c r="G136" s="1">
        <v>45380</v>
      </c>
      <c r="H136" s="1">
        <f>Engagement_Treated[[#This Row],[Followers_Gained]]-Engagement_Treated[[#This Row],[Unfollows]]</f>
        <v>891</v>
      </c>
    </row>
    <row r="137" spans="1:8" x14ac:dyDescent="0.3">
      <c r="A137" s="2">
        <v>45677</v>
      </c>
      <c r="B137" s="1" t="s">
        <v>10</v>
      </c>
      <c r="C137" s="1">
        <v>1166</v>
      </c>
      <c r="D137" s="1">
        <v>442</v>
      </c>
      <c r="E137" s="1">
        <v>336949</v>
      </c>
      <c r="F137" s="1">
        <v>4.68</v>
      </c>
      <c r="G137" s="1">
        <v>7705</v>
      </c>
      <c r="H137" s="1">
        <f>Engagement_Treated[[#This Row],[Followers_Gained]]-Engagement_Treated[[#This Row],[Unfollows]]</f>
        <v>724</v>
      </c>
    </row>
    <row r="138" spans="1:8" x14ac:dyDescent="0.3">
      <c r="A138" s="2">
        <v>45684</v>
      </c>
      <c r="B138" s="1" t="s">
        <v>7</v>
      </c>
      <c r="C138" s="1">
        <v>115</v>
      </c>
      <c r="D138" s="1">
        <v>281</v>
      </c>
      <c r="E138" s="1">
        <v>357265</v>
      </c>
      <c r="F138" s="1">
        <v>9.23</v>
      </c>
      <c r="G138" s="1">
        <v>25525</v>
      </c>
      <c r="H138" s="1">
        <f>Engagement_Treated[[#This Row],[Followers_Gained]]-Engagement_Treated[[#This Row],[Unfollows]]</f>
        <v>-166</v>
      </c>
    </row>
    <row r="139" spans="1:8" x14ac:dyDescent="0.3">
      <c r="A139" s="2">
        <v>45684</v>
      </c>
      <c r="B139" s="1" t="s">
        <v>8</v>
      </c>
      <c r="C139" s="1">
        <v>1249</v>
      </c>
      <c r="D139" s="1">
        <v>351</v>
      </c>
      <c r="E139" s="1">
        <v>321307</v>
      </c>
      <c r="F139" s="1">
        <v>6.37</v>
      </c>
      <c r="G139" s="1">
        <v>20560</v>
      </c>
      <c r="H139" s="1">
        <f>Engagement_Treated[[#This Row],[Followers_Gained]]-Engagement_Treated[[#This Row],[Unfollows]]</f>
        <v>898</v>
      </c>
    </row>
    <row r="140" spans="1:8" x14ac:dyDescent="0.3">
      <c r="A140" s="2">
        <v>45684</v>
      </c>
      <c r="B140" s="1" t="s">
        <v>9</v>
      </c>
      <c r="C140" s="1">
        <v>1501</v>
      </c>
      <c r="D140" s="1">
        <v>75</v>
      </c>
      <c r="E140" s="1">
        <v>262569</v>
      </c>
      <c r="F140" s="1">
        <v>2.0099999999999998</v>
      </c>
      <c r="G140" s="1">
        <v>19119</v>
      </c>
      <c r="H140" s="1">
        <f>Engagement_Treated[[#This Row],[Followers_Gained]]-Engagement_Treated[[#This Row],[Unfollows]]</f>
        <v>1426</v>
      </c>
    </row>
    <row r="141" spans="1:8" x14ac:dyDescent="0.3">
      <c r="A141" s="2">
        <v>45684</v>
      </c>
      <c r="B141" s="1" t="s">
        <v>10</v>
      </c>
      <c r="C141" s="1">
        <v>1411</v>
      </c>
      <c r="D141" s="1">
        <v>186</v>
      </c>
      <c r="E141" s="1">
        <v>461669</v>
      </c>
      <c r="F141" s="1">
        <v>3.72</v>
      </c>
      <c r="G141" s="1">
        <v>43999</v>
      </c>
      <c r="H141" s="1">
        <f>Engagement_Treated[[#This Row],[Followers_Gained]]-Engagement_Treated[[#This Row],[Unfollows]]</f>
        <v>1225</v>
      </c>
    </row>
    <row r="142" spans="1:8" x14ac:dyDescent="0.3">
      <c r="A142" s="2">
        <v>45691</v>
      </c>
      <c r="B142" s="1" t="s">
        <v>7</v>
      </c>
      <c r="C142" s="1">
        <v>1556</v>
      </c>
      <c r="D142" s="1">
        <v>476</v>
      </c>
      <c r="E142" s="1">
        <v>351556</v>
      </c>
      <c r="F142" s="1">
        <v>3.89</v>
      </c>
      <c r="G142" s="1">
        <v>10825</v>
      </c>
      <c r="H142" s="1">
        <f>Engagement_Treated[[#This Row],[Followers_Gained]]-Engagement_Treated[[#This Row],[Unfollows]]</f>
        <v>1080</v>
      </c>
    </row>
    <row r="143" spans="1:8" x14ac:dyDescent="0.3">
      <c r="A143" s="2">
        <v>45691</v>
      </c>
      <c r="B143" s="1" t="s">
        <v>8</v>
      </c>
      <c r="C143" s="1">
        <v>1159</v>
      </c>
      <c r="D143" s="1">
        <v>411</v>
      </c>
      <c r="E143" s="1">
        <v>135987</v>
      </c>
      <c r="F143" s="1">
        <v>8.6999999999999993</v>
      </c>
      <c r="G143" s="1">
        <v>40323</v>
      </c>
      <c r="H143" s="1">
        <f>Engagement_Treated[[#This Row],[Followers_Gained]]-Engagement_Treated[[#This Row],[Unfollows]]</f>
        <v>748</v>
      </c>
    </row>
    <row r="144" spans="1:8" x14ac:dyDescent="0.3">
      <c r="A144" s="2">
        <v>45691</v>
      </c>
      <c r="B144" s="1" t="s">
        <v>9</v>
      </c>
      <c r="C144" s="1">
        <v>927</v>
      </c>
      <c r="D144" s="1">
        <v>358</v>
      </c>
      <c r="E144" s="1">
        <v>177554</v>
      </c>
      <c r="F144" s="1">
        <v>6.95</v>
      </c>
      <c r="G144" s="1">
        <v>48270</v>
      </c>
      <c r="H144" s="1">
        <f>Engagement_Treated[[#This Row],[Followers_Gained]]-Engagement_Treated[[#This Row],[Unfollows]]</f>
        <v>569</v>
      </c>
    </row>
    <row r="145" spans="1:8" x14ac:dyDescent="0.3">
      <c r="A145" s="2">
        <v>45691</v>
      </c>
      <c r="B145" s="1" t="s">
        <v>10</v>
      </c>
      <c r="C145" s="1">
        <v>152</v>
      </c>
      <c r="D145" s="1">
        <v>355</v>
      </c>
      <c r="E145" s="1">
        <v>270766</v>
      </c>
      <c r="F145" s="1">
        <v>9.48</v>
      </c>
      <c r="G145" s="1">
        <v>18001</v>
      </c>
      <c r="H145" s="1">
        <f>Engagement_Treated[[#This Row],[Followers_Gained]]-Engagement_Treated[[#This Row],[Unfollows]]</f>
        <v>-203</v>
      </c>
    </row>
    <row r="146" spans="1:8" x14ac:dyDescent="0.3">
      <c r="A146" s="2">
        <v>45698</v>
      </c>
      <c r="B146" s="1" t="s">
        <v>7</v>
      </c>
      <c r="C146" s="1">
        <v>1957</v>
      </c>
      <c r="D146" s="1">
        <v>234</v>
      </c>
      <c r="E146" s="1">
        <v>222126</v>
      </c>
      <c r="F146" s="1">
        <v>4.6100000000000003</v>
      </c>
      <c r="G146" s="1">
        <v>3314</v>
      </c>
      <c r="H146" s="1">
        <f>Engagement_Treated[[#This Row],[Followers_Gained]]-Engagement_Treated[[#This Row],[Unfollows]]</f>
        <v>1723</v>
      </c>
    </row>
    <row r="147" spans="1:8" x14ac:dyDescent="0.3">
      <c r="A147" s="2">
        <v>45698</v>
      </c>
      <c r="B147" s="1" t="s">
        <v>8</v>
      </c>
      <c r="C147" s="1">
        <v>1294</v>
      </c>
      <c r="D147" s="1">
        <v>382</v>
      </c>
      <c r="E147" s="1">
        <v>309914</v>
      </c>
      <c r="F147" s="1">
        <v>8.0299999999999994</v>
      </c>
      <c r="G147" s="1">
        <v>23489</v>
      </c>
      <c r="H147" s="1">
        <f>Engagement_Treated[[#This Row],[Followers_Gained]]-Engagement_Treated[[#This Row],[Unfollows]]</f>
        <v>912</v>
      </c>
    </row>
    <row r="148" spans="1:8" x14ac:dyDescent="0.3">
      <c r="A148" s="2">
        <v>45698</v>
      </c>
      <c r="B148" s="1" t="s">
        <v>9</v>
      </c>
      <c r="C148" s="1">
        <v>1587</v>
      </c>
      <c r="D148" s="1">
        <v>385</v>
      </c>
      <c r="E148" s="1">
        <v>126582</v>
      </c>
      <c r="F148" s="1">
        <v>6.99</v>
      </c>
      <c r="G148" s="1">
        <v>42832</v>
      </c>
      <c r="H148" s="1">
        <f>Engagement_Treated[[#This Row],[Followers_Gained]]-Engagement_Treated[[#This Row],[Unfollows]]</f>
        <v>1202</v>
      </c>
    </row>
    <row r="149" spans="1:8" x14ac:dyDescent="0.3">
      <c r="A149" s="2">
        <v>45698</v>
      </c>
      <c r="B149" s="1" t="s">
        <v>10</v>
      </c>
      <c r="C149" s="1">
        <v>1707</v>
      </c>
      <c r="D149" s="1">
        <v>263</v>
      </c>
      <c r="E149" s="1">
        <v>485280</v>
      </c>
      <c r="F149" s="1">
        <v>9.0299999999999994</v>
      </c>
      <c r="G149" s="1">
        <v>24494</v>
      </c>
      <c r="H149" s="1">
        <f>Engagement_Treated[[#This Row],[Followers_Gained]]-Engagement_Treated[[#This Row],[Unfollows]]</f>
        <v>1444</v>
      </c>
    </row>
    <row r="150" spans="1:8" x14ac:dyDescent="0.3">
      <c r="A150" s="2">
        <v>45705</v>
      </c>
      <c r="B150" s="1" t="s">
        <v>7</v>
      </c>
      <c r="C150" s="1">
        <v>1138</v>
      </c>
      <c r="D150" s="1">
        <v>173</v>
      </c>
      <c r="E150" s="1">
        <v>453243</v>
      </c>
      <c r="F150" s="1">
        <v>2.86</v>
      </c>
      <c r="G150" s="1">
        <v>44097</v>
      </c>
      <c r="H150" s="1">
        <f>Engagement_Treated[[#This Row],[Followers_Gained]]-Engagement_Treated[[#This Row],[Unfollows]]</f>
        <v>965</v>
      </c>
    </row>
    <row r="151" spans="1:8" x14ac:dyDescent="0.3">
      <c r="A151" s="2">
        <v>45705</v>
      </c>
      <c r="B151" s="1" t="s">
        <v>8</v>
      </c>
      <c r="C151" s="1">
        <v>1895</v>
      </c>
      <c r="D151" s="1">
        <v>305</v>
      </c>
      <c r="E151" s="1">
        <v>104967</v>
      </c>
      <c r="F151" s="1">
        <v>3.85</v>
      </c>
      <c r="G151" s="1">
        <v>31853</v>
      </c>
      <c r="H151" s="1">
        <f>Engagement_Treated[[#This Row],[Followers_Gained]]-Engagement_Treated[[#This Row],[Unfollows]]</f>
        <v>1590</v>
      </c>
    </row>
    <row r="152" spans="1:8" x14ac:dyDescent="0.3">
      <c r="A152" s="2">
        <v>45705</v>
      </c>
      <c r="B152" s="1" t="s">
        <v>9</v>
      </c>
      <c r="C152" s="1">
        <v>362</v>
      </c>
      <c r="D152" s="1">
        <v>399</v>
      </c>
      <c r="E152" s="1">
        <v>145608</v>
      </c>
      <c r="F152" s="1">
        <v>7.3</v>
      </c>
      <c r="G152" s="1">
        <v>37636</v>
      </c>
      <c r="H152" s="1">
        <f>Engagement_Treated[[#This Row],[Followers_Gained]]-Engagement_Treated[[#This Row],[Unfollows]]</f>
        <v>-37</v>
      </c>
    </row>
    <row r="153" spans="1:8" x14ac:dyDescent="0.3">
      <c r="A153" s="2">
        <v>45705</v>
      </c>
      <c r="B153" s="1" t="s">
        <v>10</v>
      </c>
      <c r="C153" s="1">
        <v>1662</v>
      </c>
      <c r="D153" s="1">
        <v>487</v>
      </c>
      <c r="E153" s="1">
        <v>105980</v>
      </c>
      <c r="F153" s="1">
        <v>9.08</v>
      </c>
      <c r="G153" s="1">
        <v>22996</v>
      </c>
      <c r="H153" s="1">
        <f>Engagement_Treated[[#This Row],[Followers_Gained]]-Engagement_Treated[[#This Row],[Unfollows]]</f>
        <v>1175</v>
      </c>
    </row>
    <row r="154" spans="1:8" x14ac:dyDescent="0.3">
      <c r="A154" s="2">
        <v>45712</v>
      </c>
      <c r="B154" s="1" t="s">
        <v>7</v>
      </c>
      <c r="C154" s="1">
        <v>1440</v>
      </c>
      <c r="D154" s="1">
        <v>65</v>
      </c>
      <c r="E154" s="1">
        <v>126524</v>
      </c>
      <c r="F154" s="1">
        <v>4.34</v>
      </c>
      <c r="G154" s="1">
        <v>49772</v>
      </c>
      <c r="H154" s="1">
        <f>Engagement_Treated[[#This Row],[Followers_Gained]]-Engagement_Treated[[#This Row],[Unfollows]]</f>
        <v>1375</v>
      </c>
    </row>
    <row r="155" spans="1:8" x14ac:dyDescent="0.3">
      <c r="A155" s="2">
        <v>45712</v>
      </c>
      <c r="B155" s="1" t="s">
        <v>8</v>
      </c>
      <c r="C155" s="1">
        <v>1884</v>
      </c>
      <c r="D155" s="1">
        <v>177</v>
      </c>
      <c r="E155" s="1">
        <v>230448</v>
      </c>
      <c r="F155" s="1">
        <v>7.8</v>
      </c>
      <c r="G155" s="1">
        <v>22713</v>
      </c>
      <c r="H155" s="1">
        <f>Engagement_Treated[[#This Row],[Followers_Gained]]-Engagement_Treated[[#This Row],[Unfollows]]</f>
        <v>1707</v>
      </c>
    </row>
    <row r="156" spans="1:8" x14ac:dyDescent="0.3">
      <c r="A156" s="2">
        <v>45712</v>
      </c>
      <c r="B156" s="1" t="s">
        <v>9</v>
      </c>
      <c r="C156" s="1">
        <v>861</v>
      </c>
      <c r="D156" s="1">
        <v>153</v>
      </c>
      <c r="E156" s="1">
        <v>317007</v>
      </c>
      <c r="F156" s="1">
        <v>3.85</v>
      </c>
      <c r="G156" s="1">
        <v>8718</v>
      </c>
      <c r="H156" s="1">
        <f>Engagement_Treated[[#This Row],[Followers_Gained]]-Engagement_Treated[[#This Row],[Unfollows]]</f>
        <v>708</v>
      </c>
    </row>
    <row r="157" spans="1:8" x14ac:dyDescent="0.3">
      <c r="A157" s="2">
        <v>45712</v>
      </c>
      <c r="B157" s="1" t="s">
        <v>10</v>
      </c>
      <c r="C157" s="1">
        <v>1063</v>
      </c>
      <c r="D157" s="1">
        <v>47</v>
      </c>
      <c r="E157" s="1">
        <v>464239</v>
      </c>
      <c r="F157" s="1">
        <v>6.58</v>
      </c>
      <c r="G157" s="1">
        <v>39031</v>
      </c>
      <c r="H157" s="1">
        <f>Engagement_Treated[[#This Row],[Followers_Gained]]-Engagement_Treated[[#This Row],[Unfollows]]</f>
        <v>1016</v>
      </c>
    </row>
    <row r="158" spans="1:8" x14ac:dyDescent="0.3">
      <c r="A158" s="2">
        <v>45719</v>
      </c>
      <c r="B158" s="1" t="s">
        <v>7</v>
      </c>
      <c r="C158" s="1">
        <v>1371</v>
      </c>
      <c r="D158" s="1">
        <v>56</v>
      </c>
      <c r="E158" s="1">
        <v>257579</v>
      </c>
      <c r="F158" s="1">
        <v>8.6199999999999992</v>
      </c>
      <c r="G158" s="1">
        <v>33799</v>
      </c>
      <c r="H158" s="1">
        <f>Engagement_Treated[[#This Row],[Followers_Gained]]-Engagement_Treated[[#This Row],[Unfollows]]</f>
        <v>1315</v>
      </c>
    </row>
    <row r="159" spans="1:8" x14ac:dyDescent="0.3">
      <c r="A159" s="2">
        <v>45719</v>
      </c>
      <c r="B159" s="1" t="s">
        <v>8</v>
      </c>
      <c r="C159" s="1">
        <v>345</v>
      </c>
      <c r="D159" s="1">
        <v>464</v>
      </c>
      <c r="E159" s="1">
        <v>366881</v>
      </c>
      <c r="F159" s="1">
        <v>4.55</v>
      </c>
      <c r="G159" s="1">
        <v>20553</v>
      </c>
      <c r="H159" s="1">
        <f>Engagement_Treated[[#This Row],[Followers_Gained]]-Engagement_Treated[[#This Row],[Unfollows]]</f>
        <v>-119</v>
      </c>
    </row>
    <row r="160" spans="1:8" x14ac:dyDescent="0.3">
      <c r="A160" s="2">
        <v>45719</v>
      </c>
      <c r="B160" s="1" t="s">
        <v>9</v>
      </c>
      <c r="C160" s="1">
        <v>946</v>
      </c>
      <c r="D160" s="1">
        <v>47</v>
      </c>
      <c r="E160" s="1">
        <v>466575</v>
      </c>
      <c r="F160" s="1">
        <v>8.33</v>
      </c>
      <c r="G160" s="1">
        <v>10002</v>
      </c>
      <c r="H160" s="1">
        <f>Engagement_Treated[[#This Row],[Followers_Gained]]-Engagement_Treated[[#This Row],[Unfollows]]</f>
        <v>899</v>
      </c>
    </row>
    <row r="161" spans="1:8" x14ac:dyDescent="0.3">
      <c r="A161" s="2">
        <v>45719</v>
      </c>
      <c r="B161" s="1" t="s">
        <v>10</v>
      </c>
      <c r="C161" s="1">
        <v>510</v>
      </c>
      <c r="D161" s="1">
        <v>195</v>
      </c>
      <c r="E161" s="1">
        <v>224534</v>
      </c>
      <c r="F161" s="1">
        <v>9.4</v>
      </c>
      <c r="G161" s="1">
        <v>30987</v>
      </c>
      <c r="H161" s="1">
        <f>Engagement_Treated[[#This Row],[Followers_Gained]]-Engagement_Treated[[#This Row],[Unfollows]]</f>
        <v>315</v>
      </c>
    </row>
    <row r="162" spans="1:8" x14ac:dyDescent="0.3">
      <c r="A162" s="2">
        <v>45726</v>
      </c>
      <c r="B162" s="1" t="s">
        <v>7</v>
      </c>
      <c r="C162" s="1">
        <v>393</v>
      </c>
      <c r="D162" s="1">
        <v>181</v>
      </c>
      <c r="E162" s="1">
        <v>462142</v>
      </c>
      <c r="F162" s="1">
        <v>7.23</v>
      </c>
      <c r="G162" s="1">
        <v>6296</v>
      </c>
      <c r="H162" s="1">
        <f>Engagement_Treated[[#This Row],[Followers_Gained]]-Engagement_Treated[[#This Row],[Unfollows]]</f>
        <v>212</v>
      </c>
    </row>
    <row r="163" spans="1:8" x14ac:dyDescent="0.3">
      <c r="A163" s="2">
        <v>45726</v>
      </c>
      <c r="B163" s="1" t="s">
        <v>8</v>
      </c>
      <c r="C163" s="1">
        <v>1098</v>
      </c>
      <c r="D163" s="1">
        <v>190</v>
      </c>
      <c r="E163" s="1">
        <v>340842</v>
      </c>
      <c r="F163" s="1">
        <v>9.39</v>
      </c>
      <c r="G163" s="1">
        <v>21539</v>
      </c>
      <c r="H163" s="1">
        <f>Engagement_Treated[[#This Row],[Followers_Gained]]-Engagement_Treated[[#This Row],[Unfollows]]</f>
        <v>908</v>
      </c>
    </row>
    <row r="164" spans="1:8" x14ac:dyDescent="0.3">
      <c r="A164" s="2">
        <v>45726</v>
      </c>
      <c r="B164" s="1" t="s">
        <v>9</v>
      </c>
      <c r="C164" s="1">
        <v>1399</v>
      </c>
      <c r="D164" s="1">
        <v>49</v>
      </c>
      <c r="E164" s="1">
        <v>12471</v>
      </c>
      <c r="F164" s="1">
        <v>5.12</v>
      </c>
      <c r="G164" s="1">
        <v>14722</v>
      </c>
      <c r="H164" s="1">
        <f>Engagement_Treated[[#This Row],[Followers_Gained]]-Engagement_Treated[[#This Row],[Unfollows]]</f>
        <v>1350</v>
      </c>
    </row>
    <row r="165" spans="1:8" x14ac:dyDescent="0.3">
      <c r="A165" s="2">
        <v>45726</v>
      </c>
      <c r="B165" s="1" t="s">
        <v>10</v>
      </c>
      <c r="C165" s="1">
        <v>1658</v>
      </c>
      <c r="D165" s="1">
        <v>416</v>
      </c>
      <c r="E165" s="1">
        <v>98397</v>
      </c>
      <c r="F165" s="1">
        <v>6.11</v>
      </c>
      <c r="G165" s="1">
        <v>11383</v>
      </c>
      <c r="H165" s="1">
        <f>Engagement_Treated[[#This Row],[Followers_Gained]]-Engagement_Treated[[#This Row],[Unfollows]]</f>
        <v>1242</v>
      </c>
    </row>
    <row r="166" spans="1:8" x14ac:dyDescent="0.3">
      <c r="A166" s="2">
        <v>45733</v>
      </c>
      <c r="B166" s="1" t="s">
        <v>7</v>
      </c>
      <c r="C166" s="1">
        <v>1102</v>
      </c>
      <c r="D166" s="1">
        <v>422</v>
      </c>
      <c r="E166" s="1">
        <v>410330</v>
      </c>
      <c r="F166" s="1">
        <v>7.74</v>
      </c>
      <c r="G166" s="1">
        <v>9480</v>
      </c>
      <c r="H166" s="1">
        <f>Engagement_Treated[[#This Row],[Followers_Gained]]-Engagement_Treated[[#This Row],[Unfollows]]</f>
        <v>680</v>
      </c>
    </row>
    <row r="167" spans="1:8" x14ac:dyDescent="0.3">
      <c r="A167" s="2">
        <v>45733</v>
      </c>
      <c r="B167" s="1" t="s">
        <v>8</v>
      </c>
      <c r="C167" s="1">
        <v>1358</v>
      </c>
      <c r="D167" s="1">
        <v>242</v>
      </c>
      <c r="E167" s="1">
        <v>342129</v>
      </c>
      <c r="F167" s="1">
        <v>4.9400000000000004</v>
      </c>
      <c r="G167" s="1">
        <v>29116</v>
      </c>
      <c r="H167" s="1">
        <f>Engagement_Treated[[#This Row],[Followers_Gained]]-Engagement_Treated[[#This Row],[Unfollows]]</f>
        <v>1116</v>
      </c>
    </row>
    <row r="168" spans="1:8" x14ac:dyDescent="0.3">
      <c r="A168" s="2">
        <v>45733</v>
      </c>
      <c r="B168" s="1" t="s">
        <v>9</v>
      </c>
      <c r="C168" s="1">
        <v>1077</v>
      </c>
      <c r="D168" s="1">
        <v>216</v>
      </c>
      <c r="E168" s="1">
        <v>12447</v>
      </c>
      <c r="F168" s="1">
        <v>1.8</v>
      </c>
      <c r="G168" s="1">
        <v>14068</v>
      </c>
      <c r="H168" s="1">
        <f>Engagement_Treated[[#This Row],[Followers_Gained]]-Engagement_Treated[[#This Row],[Unfollows]]</f>
        <v>861</v>
      </c>
    </row>
    <row r="169" spans="1:8" x14ac:dyDescent="0.3">
      <c r="A169" s="2">
        <v>45733</v>
      </c>
      <c r="B169" s="1" t="s">
        <v>10</v>
      </c>
      <c r="C169" s="1">
        <v>1596</v>
      </c>
      <c r="D169" s="1">
        <v>211</v>
      </c>
      <c r="E169" s="1">
        <v>17380</v>
      </c>
      <c r="F169" s="1">
        <v>8.64</v>
      </c>
      <c r="G169" s="1">
        <v>35801</v>
      </c>
      <c r="H169" s="1">
        <f>Engagement_Treated[[#This Row],[Followers_Gained]]-Engagement_Treated[[#This Row],[Unfollows]]</f>
        <v>1385</v>
      </c>
    </row>
    <row r="170" spans="1:8" x14ac:dyDescent="0.3">
      <c r="A170" s="2">
        <v>45740</v>
      </c>
      <c r="B170" s="1" t="s">
        <v>7</v>
      </c>
      <c r="C170" s="1">
        <v>490</v>
      </c>
      <c r="D170" s="1">
        <v>29</v>
      </c>
      <c r="E170" s="1">
        <v>364810</v>
      </c>
      <c r="F170" s="1">
        <v>1.53</v>
      </c>
      <c r="G170" s="1">
        <v>49077</v>
      </c>
      <c r="H170" s="1">
        <f>Engagement_Treated[[#This Row],[Followers_Gained]]-Engagement_Treated[[#This Row],[Unfollows]]</f>
        <v>461</v>
      </c>
    </row>
    <row r="171" spans="1:8" x14ac:dyDescent="0.3">
      <c r="A171" s="2">
        <v>45740</v>
      </c>
      <c r="B171" s="1" t="s">
        <v>8</v>
      </c>
      <c r="C171" s="1">
        <v>609</v>
      </c>
      <c r="D171" s="1">
        <v>135</v>
      </c>
      <c r="E171" s="1">
        <v>373606</v>
      </c>
      <c r="F171" s="1">
        <v>8.52</v>
      </c>
      <c r="G171" s="1">
        <v>21453</v>
      </c>
      <c r="H171" s="1">
        <f>Engagement_Treated[[#This Row],[Followers_Gained]]-Engagement_Treated[[#This Row],[Unfollows]]</f>
        <v>474</v>
      </c>
    </row>
    <row r="172" spans="1:8" x14ac:dyDescent="0.3">
      <c r="A172" s="2">
        <v>45740</v>
      </c>
      <c r="B172" s="1" t="s">
        <v>9</v>
      </c>
      <c r="C172" s="1">
        <v>364</v>
      </c>
      <c r="D172" s="1">
        <v>72</v>
      </c>
      <c r="E172" s="1">
        <v>211090</v>
      </c>
      <c r="F172" s="1">
        <v>5.53</v>
      </c>
      <c r="G172" s="1">
        <v>21061</v>
      </c>
      <c r="H172" s="1">
        <f>Engagement_Treated[[#This Row],[Followers_Gained]]-Engagement_Treated[[#This Row],[Unfollows]]</f>
        <v>292</v>
      </c>
    </row>
    <row r="173" spans="1:8" x14ac:dyDescent="0.3">
      <c r="A173" s="2">
        <v>45740</v>
      </c>
      <c r="B173" s="1" t="s">
        <v>10</v>
      </c>
      <c r="C173" s="1">
        <v>442</v>
      </c>
      <c r="D173" s="1">
        <v>53</v>
      </c>
      <c r="E173" s="1">
        <v>441931</v>
      </c>
      <c r="F173" s="1">
        <v>1.87</v>
      </c>
      <c r="G173" s="1">
        <v>20059</v>
      </c>
      <c r="H173" s="1">
        <f>Engagement_Treated[[#This Row],[Followers_Gained]]-Engagement_Treated[[#This Row],[Unfollows]]</f>
        <v>389</v>
      </c>
    </row>
    <row r="174" spans="1:8" x14ac:dyDescent="0.3">
      <c r="A174" s="2">
        <v>45747</v>
      </c>
      <c r="B174" s="1" t="s">
        <v>7</v>
      </c>
      <c r="C174" s="1">
        <v>1033</v>
      </c>
      <c r="D174" s="1">
        <v>392</v>
      </c>
      <c r="E174" s="1">
        <v>282780</v>
      </c>
      <c r="F174" s="1">
        <v>6.27</v>
      </c>
      <c r="G174" s="1">
        <v>23140</v>
      </c>
      <c r="H174" s="1">
        <f>Engagement_Treated[[#This Row],[Followers_Gained]]-Engagement_Treated[[#This Row],[Unfollows]]</f>
        <v>641</v>
      </c>
    </row>
    <row r="175" spans="1:8" x14ac:dyDescent="0.3">
      <c r="A175" s="2">
        <v>45747</v>
      </c>
      <c r="B175" s="1" t="s">
        <v>8</v>
      </c>
      <c r="C175" s="1">
        <v>988</v>
      </c>
      <c r="D175" s="1">
        <v>474</v>
      </c>
      <c r="E175" s="1">
        <v>370070</v>
      </c>
      <c r="F175" s="1">
        <v>9.4600000000000009</v>
      </c>
      <c r="G175" s="1">
        <v>23461</v>
      </c>
      <c r="H175" s="1">
        <f>Engagement_Treated[[#This Row],[Followers_Gained]]-Engagement_Treated[[#This Row],[Unfollows]]</f>
        <v>514</v>
      </c>
    </row>
    <row r="176" spans="1:8" x14ac:dyDescent="0.3">
      <c r="A176" s="2">
        <v>45747</v>
      </c>
      <c r="B176" s="1" t="s">
        <v>9</v>
      </c>
      <c r="C176" s="1">
        <v>1946</v>
      </c>
      <c r="D176" s="1">
        <v>270</v>
      </c>
      <c r="E176" s="1">
        <v>198350</v>
      </c>
      <c r="F176" s="1">
        <v>7.5</v>
      </c>
      <c r="G176" s="1">
        <v>11805</v>
      </c>
      <c r="H176" s="1">
        <f>Engagement_Treated[[#This Row],[Followers_Gained]]-Engagement_Treated[[#This Row],[Unfollows]]</f>
        <v>1676</v>
      </c>
    </row>
    <row r="177" spans="1:8" x14ac:dyDescent="0.3">
      <c r="A177" s="2">
        <v>45747</v>
      </c>
      <c r="B177" s="1" t="s">
        <v>10</v>
      </c>
      <c r="C177" s="1">
        <v>1957</v>
      </c>
      <c r="D177" s="1">
        <v>490</v>
      </c>
      <c r="E177" s="1">
        <v>435726</v>
      </c>
      <c r="F177" s="1">
        <v>4.7300000000000004</v>
      </c>
      <c r="G177" s="1">
        <v>15969</v>
      </c>
      <c r="H177" s="1">
        <f>Engagement_Treated[[#This Row],[Followers_Gained]]-Engagement_Treated[[#This Row],[Unfollows]]</f>
        <v>1467</v>
      </c>
    </row>
    <row r="178" spans="1:8" x14ac:dyDescent="0.3">
      <c r="A178" s="2">
        <v>45754</v>
      </c>
      <c r="B178" s="1" t="s">
        <v>7</v>
      </c>
      <c r="C178" s="1">
        <v>559</v>
      </c>
      <c r="D178" s="1">
        <v>392</v>
      </c>
      <c r="E178" s="1">
        <v>78789</v>
      </c>
      <c r="F178" s="1">
        <v>3.19</v>
      </c>
      <c r="G178" s="1">
        <v>2436</v>
      </c>
      <c r="H178" s="1">
        <f>Engagement_Treated[[#This Row],[Followers_Gained]]-Engagement_Treated[[#This Row],[Unfollows]]</f>
        <v>167</v>
      </c>
    </row>
    <row r="179" spans="1:8" x14ac:dyDescent="0.3">
      <c r="A179" s="2">
        <v>45754</v>
      </c>
      <c r="B179" s="1" t="s">
        <v>8</v>
      </c>
      <c r="C179" s="1">
        <v>1307</v>
      </c>
      <c r="D179" s="1">
        <v>278</v>
      </c>
      <c r="E179" s="1">
        <v>98596</v>
      </c>
      <c r="F179" s="1">
        <v>2.4900000000000002</v>
      </c>
      <c r="G179" s="1">
        <v>47603</v>
      </c>
      <c r="H179" s="1">
        <f>Engagement_Treated[[#This Row],[Followers_Gained]]-Engagement_Treated[[#This Row],[Unfollows]]</f>
        <v>1029</v>
      </c>
    </row>
    <row r="180" spans="1:8" x14ac:dyDescent="0.3">
      <c r="A180" s="2">
        <v>45754</v>
      </c>
      <c r="B180" s="1" t="s">
        <v>9</v>
      </c>
      <c r="C180" s="1">
        <v>1432</v>
      </c>
      <c r="D180" s="1">
        <v>425</v>
      </c>
      <c r="E180" s="1">
        <v>29589</v>
      </c>
      <c r="F180" s="1">
        <v>4.5</v>
      </c>
      <c r="G180" s="1">
        <v>42964</v>
      </c>
      <c r="H180" s="1">
        <f>Engagement_Treated[[#This Row],[Followers_Gained]]-Engagement_Treated[[#This Row],[Unfollows]]</f>
        <v>1007</v>
      </c>
    </row>
    <row r="181" spans="1:8" x14ac:dyDescent="0.3">
      <c r="A181" s="2">
        <v>45754</v>
      </c>
      <c r="B181" s="1" t="s">
        <v>10</v>
      </c>
      <c r="C181" s="1">
        <v>623</v>
      </c>
      <c r="D181" s="1">
        <v>414</v>
      </c>
      <c r="E181" s="1">
        <v>290354</v>
      </c>
      <c r="F181" s="1">
        <v>6.49</v>
      </c>
      <c r="G181" s="1">
        <v>39923</v>
      </c>
      <c r="H181" s="1">
        <f>Engagement_Treated[[#This Row],[Followers_Gained]]-Engagement_Treated[[#This Row],[Unfollows]]</f>
        <v>209</v>
      </c>
    </row>
    <row r="182" spans="1:8" x14ac:dyDescent="0.3">
      <c r="A182" s="2">
        <v>45761</v>
      </c>
      <c r="B182" s="1" t="s">
        <v>7</v>
      </c>
      <c r="C182" s="1">
        <v>198</v>
      </c>
      <c r="D182" s="1">
        <v>358</v>
      </c>
      <c r="E182" s="1">
        <v>66682</v>
      </c>
      <c r="F182" s="1">
        <v>6.73</v>
      </c>
      <c r="G182" s="1">
        <v>2293</v>
      </c>
      <c r="H182" s="1">
        <f>Engagement_Treated[[#This Row],[Followers_Gained]]-Engagement_Treated[[#This Row],[Unfollows]]</f>
        <v>-160</v>
      </c>
    </row>
    <row r="183" spans="1:8" x14ac:dyDescent="0.3">
      <c r="A183" s="2">
        <v>45761</v>
      </c>
      <c r="B183" s="1" t="s">
        <v>8</v>
      </c>
      <c r="C183" s="1">
        <v>198</v>
      </c>
      <c r="D183" s="1">
        <v>373</v>
      </c>
      <c r="E183" s="1">
        <v>70707</v>
      </c>
      <c r="F183" s="1">
        <v>4.83</v>
      </c>
      <c r="G183" s="1">
        <v>25920</v>
      </c>
      <c r="H183" s="1">
        <f>Engagement_Treated[[#This Row],[Followers_Gained]]-Engagement_Treated[[#This Row],[Unfollows]]</f>
        <v>-175</v>
      </c>
    </row>
    <row r="184" spans="1:8" x14ac:dyDescent="0.3">
      <c r="A184" s="2">
        <v>45761</v>
      </c>
      <c r="B184" s="1" t="s">
        <v>9</v>
      </c>
      <c r="C184" s="1">
        <v>353</v>
      </c>
      <c r="D184" s="1">
        <v>300</v>
      </c>
      <c r="E184" s="1">
        <v>142507</v>
      </c>
      <c r="F184" s="1">
        <v>5.3</v>
      </c>
      <c r="G184" s="1">
        <v>11035</v>
      </c>
      <c r="H184" s="1">
        <f>Engagement_Treated[[#This Row],[Followers_Gained]]-Engagement_Treated[[#This Row],[Unfollows]]</f>
        <v>53</v>
      </c>
    </row>
    <row r="185" spans="1:8" x14ac:dyDescent="0.3">
      <c r="A185" s="2">
        <v>45761</v>
      </c>
      <c r="B185" s="1" t="s">
        <v>10</v>
      </c>
      <c r="C185" s="1">
        <v>520</v>
      </c>
      <c r="D185" s="1">
        <v>375</v>
      </c>
      <c r="E185" s="1">
        <v>369525</v>
      </c>
      <c r="F185" s="1">
        <v>6.54</v>
      </c>
      <c r="G185" s="1">
        <v>20733</v>
      </c>
      <c r="H185" s="1">
        <f>Engagement_Treated[[#This Row],[Followers_Gained]]-Engagement_Treated[[#This Row],[Unfollows]]</f>
        <v>145</v>
      </c>
    </row>
    <row r="186" spans="1:8" x14ac:dyDescent="0.3">
      <c r="A186" s="2">
        <v>45768</v>
      </c>
      <c r="B186" s="1" t="s">
        <v>7</v>
      </c>
      <c r="C186" s="1">
        <v>961</v>
      </c>
      <c r="D186" s="1">
        <v>358</v>
      </c>
      <c r="E186" s="1">
        <v>62942</v>
      </c>
      <c r="F186" s="1">
        <v>6.8</v>
      </c>
      <c r="G186" s="1">
        <v>18693</v>
      </c>
      <c r="H186" s="1">
        <f>Engagement_Treated[[#This Row],[Followers_Gained]]-Engagement_Treated[[#This Row],[Unfollows]]</f>
        <v>603</v>
      </c>
    </row>
    <row r="187" spans="1:8" x14ac:dyDescent="0.3">
      <c r="A187" s="2">
        <v>45768</v>
      </c>
      <c r="B187" s="1" t="s">
        <v>8</v>
      </c>
      <c r="C187" s="1">
        <v>1375</v>
      </c>
      <c r="D187" s="1">
        <v>330</v>
      </c>
      <c r="E187" s="1">
        <v>377382</v>
      </c>
      <c r="F187" s="1">
        <v>2.6</v>
      </c>
      <c r="G187" s="1">
        <v>7875</v>
      </c>
      <c r="H187" s="1">
        <f>Engagement_Treated[[#This Row],[Followers_Gained]]-Engagement_Treated[[#This Row],[Unfollows]]</f>
        <v>1045</v>
      </c>
    </row>
    <row r="188" spans="1:8" x14ac:dyDescent="0.3">
      <c r="A188" s="2">
        <v>45768</v>
      </c>
      <c r="B188" s="1" t="s">
        <v>9</v>
      </c>
      <c r="C188" s="1">
        <v>1147</v>
      </c>
      <c r="D188" s="1">
        <v>388</v>
      </c>
      <c r="E188" s="1">
        <v>333851</v>
      </c>
      <c r="F188" s="1">
        <v>2.44</v>
      </c>
      <c r="G188" s="1">
        <v>8471</v>
      </c>
      <c r="H188" s="1">
        <f>Engagement_Treated[[#This Row],[Followers_Gained]]-Engagement_Treated[[#This Row],[Unfollows]]</f>
        <v>759</v>
      </c>
    </row>
    <row r="189" spans="1:8" x14ac:dyDescent="0.3">
      <c r="A189" s="2">
        <v>45768</v>
      </c>
      <c r="B189" s="1" t="s">
        <v>10</v>
      </c>
      <c r="C189" s="1">
        <v>1707</v>
      </c>
      <c r="D189" s="1">
        <v>74</v>
      </c>
      <c r="E189" s="1">
        <v>270958</v>
      </c>
      <c r="F189" s="1">
        <v>3.09</v>
      </c>
      <c r="G189" s="1">
        <v>14090</v>
      </c>
      <c r="H189" s="1">
        <f>Engagement_Treated[[#This Row],[Followers_Gained]]-Engagement_Treated[[#This Row],[Unfollows]]</f>
        <v>1633</v>
      </c>
    </row>
    <row r="190" spans="1:8" x14ac:dyDescent="0.3">
      <c r="A190" s="2">
        <v>45775</v>
      </c>
      <c r="B190" s="1" t="s">
        <v>7</v>
      </c>
      <c r="C190" s="1">
        <v>1693</v>
      </c>
      <c r="D190" s="1">
        <v>154</v>
      </c>
      <c r="E190" s="1">
        <v>445944</v>
      </c>
      <c r="F190" s="1">
        <v>5.69</v>
      </c>
      <c r="G190" s="1">
        <v>14216</v>
      </c>
      <c r="H190" s="1">
        <f>Engagement_Treated[[#This Row],[Followers_Gained]]-Engagement_Treated[[#This Row],[Unfollows]]</f>
        <v>1539</v>
      </c>
    </row>
    <row r="191" spans="1:8" x14ac:dyDescent="0.3">
      <c r="A191" s="2">
        <v>45775</v>
      </c>
      <c r="B191" s="1" t="s">
        <v>8</v>
      </c>
      <c r="C191" s="1">
        <v>833</v>
      </c>
      <c r="D191" s="1">
        <v>380</v>
      </c>
      <c r="E191" s="1">
        <v>224830</v>
      </c>
      <c r="F191" s="1">
        <v>3.86</v>
      </c>
      <c r="G191" s="1">
        <v>3582</v>
      </c>
      <c r="H191" s="1">
        <f>Engagement_Treated[[#This Row],[Followers_Gained]]-Engagement_Treated[[#This Row],[Unfollows]]</f>
        <v>453</v>
      </c>
    </row>
    <row r="192" spans="1:8" x14ac:dyDescent="0.3">
      <c r="A192" s="2">
        <v>45775</v>
      </c>
      <c r="B192" s="1" t="s">
        <v>9</v>
      </c>
      <c r="C192" s="1">
        <v>1222</v>
      </c>
      <c r="D192" s="1">
        <v>274</v>
      </c>
      <c r="E192" s="1">
        <v>487289</v>
      </c>
      <c r="F192" s="1">
        <v>3.16</v>
      </c>
      <c r="G192" s="1">
        <v>32500</v>
      </c>
      <c r="H192" s="1">
        <f>Engagement_Treated[[#This Row],[Followers_Gained]]-Engagement_Treated[[#This Row],[Unfollows]]</f>
        <v>948</v>
      </c>
    </row>
    <row r="193" spans="1:8" x14ac:dyDescent="0.3">
      <c r="A193" s="2">
        <v>45775</v>
      </c>
      <c r="B193" s="1" t="s">
        <v>10</v>
      </c>
      <c r="C193" s="1">
        <v>777</v>
      </c>
      <c r="D193" s="1">
        <v>140</v>
      </c>
      <c r="E193" s="1">
        <v>11435</v>
      </c>
      <c r="F193" s="1">
        <v>1.6</v>
      </c>
      <c r="G193" s="1">
        <v>6832</v>
      </c>
      <c r="H193" s="1">
        <f>Engagement_Treated[[#This Row],[Followers_Gained]]-Engagement_Treated[[#This Row],[Unfollows]]</f>
        <v>637</v>
      </c>
    </row>
    <row r="194" spans="1:8" x14ac:dyDescent="0.3">
      <c r="A194" s="2">
        <v>45782</v>
      </c>
      <c r="B194" s="1" t="s">
        <v>7</v>
      </c>
      <c r="C194" s="1">
        <v>1957</v>
      </c>
      <c r="D194" s="1">
        <v>76</v>
      </c>
      <c r="E194" s="1">
        <v>447902</v>
      </c>
      <c r="F194" s="1">
        <v>6.09</v>
      </c>
      <c r="G194" s="1">
        <v>33381</v>
      </c>
      <c r="H194" s="1">
        <f>Engagement_Treated[[#This Row],[Followers_Gained]]-Engagement_Treated[[#This Row],[Unfollows]]</f>
        <v>1881</v>
      </c>
    </row>
    <row r="195" spans="1:8" x14ac:dyDescent="0.3">
      <c r="A195" s="2">
        <v>45782</v>
      </c>
      <c r="B195" s="1" t="s">
        <v>8</v>
      </c>
      <c r="C195" s="1">
        <v>405</v>
      </c>
      <c r="D195" s="1">
        <v>66</v>
      </c>
      <c r="E195" s="1">
        <v>418696</v>
      </c>
      <c r="F195" s="1">
        <v>5.59</v>
      </c>
      <c r="G195" s="1">
        <v>48419</v>
      </c>
      <c r="H195" s="1">
        <f>Engagement_Treated[[#This Row],[Followers_Gained]]-Engagement_Treated[[#This Row],[Unfollows]]</f>
        <v>339</v>
      </c>
    </row>
    <row r="196" spans="1:8" x14ac:dyDescent="0.3">
      <c r="A196" s="2">
        <v>45782</v>
      </c>
      <c r="B196" s="1" t="s">
        <v>9</v>
      </c>
      <c r="C196" s="1">
        <v>1581</v>
      </c>
      <c r="D196" s="1">
        <v>71</v>
      </c>
      <c r="E196" s="1">
        <v>484364</v>
      </c>
      <c r="F196" s="1">
        <v>3.55</v>
      </c>
      <c r="G196" s="1">
        <v>16149</v>
      </c>
      <c r="H196" s="1">
        <f>Engagement_Treated[[#This Row],[Followers_Gained]]-Engagement_Treated[[#This Row],[Unfollows]]</f>
        <v>1510</v>
      </c>
    </row>
    <row r="197" spans="1:8" x14ac:dyDescent="0.3">
      <c r="A197" s="2">
        <v>45782</v>
      </c>
      <c r="B197" s="1" t="s">
        <v>10</v>
      </c>
      <c r="C197" s="1">
        <v>1035</v>
      </c>
      <c r="D197" s="1">
        <v>171</v>
      </c>
      <c r="E197" s="1">
        <v>148477</v>
      </c>
      <c r="F197" s="1">
        <v>5.21</v>
      </c>
      <c r="G197" s="1">
        <v>7541</v>
      </c>
      <c r="H197" s="1">
        <f>Engagement_Treated[[#This Row],[Followers_Gained]]-Engagement_Treated[[#This Row],[Unfollows]]</f>
        <v>864</v>
      </c>
    </row>
    <row r="198" spans="1:8" x14ac:dyDescent="0.3">
      <c r="A198" s="2">
        <v>45789</v>
      </c>
      <c r="B198" s="1" t="s">
        <v>7</v>
      </c>
      <c r="C198" s="1">
        <v>1765</v>
      </c>
      <c r="D198" s="1">
        <v>109</v>
      </c>
      <c r="E198" s="1">
        <v>468301</v>
      </c>
      <c r="F198" s="1">
        <v>1.82</v>
      </c>
      <c r="G198" s="1">
        <v>20042</v>
      </c>
      <c r="H198" s="1">
        <f>Engagement_Treated[[#This Row],[Followers_Gained]]-Engagement_Treated[[#This Row],[Unfollows]]</f>
        <v>1656</v>
      </c>
    </row>
    <row r="199" spans="1:8" x14ac:dyDescent="0.3">
      <c r="A199" s="2">
        <v>45789</v>
      </c>
      <c r="B199" s="1" t="s">
        <v>8</v>
      </c>
      <c r="C199" s="1">
        <v>837</v>
      </c>
      <c r="D199" s="1">
        <v>430</v>
      </c>
      <c r="E199" s="1">
        <v>364820</v>
      </c>
      <c r="F199" s="1">
        <v>4</v>
      </c>
      <c r="G199" s="1">
        <v>49400</v>
      </c>
      <c r="H199" s="1">
        <f>Engagement_Treated[[#This Row],[Followers_Gained]]-Engagement_Treated[[#This Row],[Unfollows]]</f>
        <v>407</v>
      </c>
    </row>
    <row r="200" spans="1:8" x14ac:dyDescent="0.3">
      <c r="A200" s="2">
        <v>45789</v>
      </c>
      <c r="B200" s="1" t="s">
        <v>9</v>
      </c>
      <c r="C200" s="1">
        <v>337</v>
      </c>
      <c r="D200" s="1">
        <v>68</v>
      </c>
      <c r="E200" s="1">
        <v>456298</v>
      </c>
      <c r="F200" s="1">
        <v>7.57</v>
      </c>
      <c r="G200" s="1">
        <v>4007</v>
      </c>
      <c r="H200" s="1">
        <f>Engagement_Treated[[#This Row],[Followers_Gained]]-Engagement_Treated[[#This Row],[Unfollows]]</f>
        <v>269</v>
      </c>
    </row>
    <row r="201" spans="1:8" x14ac:dyDescent="0.3">
      <c r="A201" s="2">
        <v>45789</v>
      </c>
      <c r="B201" s="1" t="s">
        <v>10</v>
      </c>
      <c r="C201" s="1">
        <v>119</v>
      </c>
      <c r="D201" s="1">
        <v>456</v>
      </c>
      <c r="E201" s="1">
        <v>82558</v>
      </c>
      <c r="F201" s="1">
        <v>6.81</v>
      </c>
      <c r="G201" s="1">
        <v>12174</v>
      </c>
      <c r="H201" s="1">
        <f>Engagement_Treated[[#This Row],[Followers_Gained]]-Engagement_Treated[[#This Row],[Unfollows]]</f>
        <v>-337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91DCE-2762-4B81-8FD4-6B228320EF60}">
  <dimension ref="A1:B8"/>
  <sheetViews>
    <sheetView zoomScale="115" zoomScaleNormal="115" workbookViewId="0">
      <selection activeCell="B1" sqref="B1"/>
    </sheetView>
  </sheetViews>
  <sheetFormatPr defaultRowHeight="14.4" x14ac:dyDescent="0.3"/>
  <cols>
    <col min="1" max="1" width="12.44140625" bestFit="1" customWidth="1"/>
    <col min="2" max="2" width="33.44140625" bestFit="1" customWidth="1"/>
  </cols>
  <sheetData>
    <row r="1" spans="1:2" ht="18" x14ac:dyDescent="0.35">
      <c r="B1" s="6" t="s">
        <v>18</v>
      </c>
    </row>
    <row r="3" spans="1:2" x14ac:dyDescent="0.3">
      <c r="A3" s="3" t="s">
        <v>11</v>
      </c>
      <c r="B3" s="4" t="s">
        <v>13</v>
      </c>
    </row>
    <row r="4" spans="1:2" x14ac:dyDescent="0.3">
      <c r="A4" s="5" t="s">
        <v>7</v>
      </c>
      <c r="B4" s="4">
        <v>5.7156000000000002</v>
      </c>
    </row>
    <row r="5" spans="1:2" x14ac:dyDescent="0.3">
      <c r="A5" s="5" t="s">
        <v>9</v>
      </c>
      <c r="B5" s="4">
        <v>5.6558000000000002</v>
      </c>
    </row>
    <row r="6" spans="1:2" x14ac:dyDescent="0.3">
      <c r="A6" s="5" t="s">
        <v>8</v>
      </c>
      <c r="B6" s="4">
        <v>5.6486000000000001</v>
      </c>
    </row>
    <row r="7" spans="1:2" x14ac:dyDescent="0.3">
      <c r="A7" s="5" t="s">
        <v>10</v>
      </c>
      <c r="B7" s="4">
        <v>5.5587999999999997</v>
      </c>
    </row>
    <row r="8" spans="1:2" x14ac:dyDescent="0.3">
      <c r="A8" s="5" t="s">
        <v>12</v>
      </c>
      <c r="B8" s="4">
        <v>5.6446999999999994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8D9C-9DE5-42BA-B317-FE1A1B96520F}">
  <dimension ref="A1:B8"/>
  <sheetViews>
    <sheetView zoomScale="145" zoomScaleNormal="145" workbookViewId="0">
      <selection activeCell="G7" sqref="G7"/>
    </sheetView>
  </sheetViews>
  <sheetFormatPr defaultRowHeight="14.4" x14ac:dyDescent="0.3"/>
  <cols>
    <col min="1" max="1" width="12.44140625" bestFit="1" customWidth="1"/>
    <col min="2" max="2" width="22.109375" bestFit="1" customWidth="1"/>
  </cols>
  <sheetData>
    <row r="1" spans="1:2" ht="18" x14ac:dyDescent="0.35">
      <c r="B1" s="6" t="s">
        <v>19</v>
      </c>
    </row>
    <row r="3" spans="1:2" x14ac:dyDescent="0.3">
      <c r="A3" s="3" t="s">
        <v>11</v>
      </c>
      <c r="B3" s="4" t="s">
        <v>15</v>
      </c>
    </row>
    <row r="4" spans="1:2" x14ac:dyDescent="0.3">
      <c r="A4" s="5" t="s">
        <v>7</v>
      </c>
      <c r="B4" s="7">
        <v>58311</v>
      </c>
    </row>
    <row r="5" spans="1:2" x14ac:dyDescent="0.3">
      <c r="A5" s="5" t="s">
        <v>9</v>
      </c>
      <c r="B5" s="7">
        <v>53484</v>
      </c>
    </row>
    <row r="6" spans="1:2" x14ac:dyDescent="0.3">
      <c r="A6" s="5" t="s">
        <v>8</v>
      </c>
      <c r="B6" s="7">
        <v>50862</v>
      </c>
    </row>
    <row r="7" spans="1:2" x14ac:dyDescent="0.3">
      <c r="A7" s="5" t="s">
        <v>10</v>
      </c>
      <c r="B7" s="7">
        <v>47471</v>
      </c>
    </row>
    <row r="8" spans="1:2" x14ac:dyDescent="0.3">
      <c r="A8" s="5" t="s">
        <v>12</v>
      </c>
      <c r="B8" s="7">
        <v>210128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ED0B3-9CAB-4221-AECE-C15D1D778D00}">
  <dimension ref="A3:G8"/>
  <sheetViews>
    <sheetView tabSelected="1" zoomScale="70" zoomScaleNormal="70" workbookViewId="0">
      <selection activeCell="N20" sqref="N20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33.109375" bestFit="1" customWidth="1"/>
    <col min="7" max="7" width="14.88671875" bestFit="1" customWidth="1"/>
  </cols>
  <sheetData>
    <row r="3" spans="1:7" x14ac:dyDescent="0.3">
      <c r="A3" s="3" t="s">
        <v>11</v>
      </c>
      <c r="B3" s="4" t="s">
        <v>16</v>
      </c>
      <c r="C3" s="4" t="s">
        <v>13</v>
      </c>
      <c r="E3" t="s">
        <v>1</v>
      </c>
      <c r="F3" t="s">
        <v>6</v>
      </c>
      <c r="G3" t="s">
        <v>17</v>
      </c>
    </row>
    <row r="4" spans="1:7" x14ac:dyDescent="0.3">
      <c r="A4" s="5" t="s">
        <v>8</v>
      </c>
      <c r="B4" s="4">
        <v>1379539</v>
      </c>
      <c r="C4" s="4">
        <v>5.6486000000000001</v>
      </c>
      <c r="E4" t="str">
        <f>A4</f>
        <v>Facebook</v>
      </c>
      <c r="F4">
        <f>B4</f>
        <v>1379539</v>
      </c>
      <c r="G4">
        <f>C4</f>
        <v>5.6486000000000001</v>
      </c>
    </row>
    <row r="5" spans="1:7" x14ac:dyDescent="0.3">
      <c r="A5" s="5" t="s">
        <v>7</v>
      </c>
      <c r="B5" s="4">
        <v>1164373</v>
      </c>
      <c r="C5" s="4">
        <v>5.7156000000000002</v>
      </c>
      <c r="E5" t="str">
        <f t="shared" ref="E5:E7" si="0">A5</f>
        <v>Instagram</v>
      </c>
      <c r="F5">
        <f t="shared" ref="F5:F7" si="1">B5</f>
        <v>1164373</v>
      </c>
      <c r="G5">
        <f t="shared" ref="G5:G7" si="2">C5</f>
        <v>5.7156000000000002</v>
      </c>
    </row>
    <row r="6" spans="1:7" x14ac:dyDescent="0.3">
      <c r="A6" s="5" t="s">
        <v>9</v>
      </c>
      <c r="B6" s="4">
        <v>1060357</v>
      </c>
      <c r="C6" s="4">
        <v>5.6558000000000002</v>
      </c>
      <c r="E6" t="str">
        <f t="shared" si="0"/>
        <v>X</v>
      </c>
      <c r="F6">
        <f t="shared" si="1"/>
        <v>1060357</v>
      </c>
      <c r="G6">
        <f t="shared" si="2"/>
        <v>5.6558000000000002</v>
      </c>
    </row>
    <row r="7" spans="1:7" x14ac:dyDescent="0.3">
      <c r="A7" s="5" t="s">
        <v>10</v>
      </c>
      <c r="B7" s="4">
        <v>1228647</v>
      </c>
      <c r="C7" s="4">
        <v>5.5587999999999997</v>
      </c>
      <c r="E7" t="str">
        <f t="shared" si="0"/>
        <v>Youtube</v>
      </c>
      <c r="F7">
        <f t="shared" si="1"/>
        <v>1228647</v>
      </c>
      <c r="G7">
        <f t="shared" si="2"/>
        <v>5.5587999999999997</v>
      </c>
    </row>
    <row r="8" spans="1:7" x14ac:dyDescent="0.3">
      <c r="A8" s="5" t="s">
        <v>12</v>
      </c>
      <c r="B8" s="4">
        <v>4832916</v>
      </c>
      <c r="C8" s="4">
        <v>5.6446999999999994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B6FC49-790B-4B78-82E8-04558FF53E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Engagement_treated</vt:lpstr>
      <vt:lpstr>Platform_Engagement</vt:lpstr>
      <vt:lpstr>Follower_Growth</vt:lpstr>
      <vt:lpstr>Engagement_vs_Spend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Patnaik</dc:creator>
  <cp:lastModifiedBy>Manas Patnaik</cp:lastModifiedBy>
  <dcterms:created xsi:type="dcterms:W3CDTF">2025-12-16T11:42:19Z</dcterms:created>
  <dcterms:modified xsi:type="dcterms:W3CDTF">2025-12-18T13:13:50Z</dcterms:modified>
</cp:coreProperties>
</file>